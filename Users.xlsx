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 - Speccon Holdings (Pty) Ltd\Software Development\Projects v2\CRM\"/>
    </mc:Choice>
  </mc:AlternateContent>
  <xr:revisionPtr revIDLastSave="0" documentId="13_ncr:1_{8F122550-75D2-4D62-BD77-09844C2B2017}" xr6:coauthVersionLast="47" xr6:coauthVersionMax="47" xr10:uidLastSave="{00000000-0000-0000-0000-000000000000}"/>
  <bookViews>
    <workbookView xWindow="38280" yWindow="-120" windowWidth="29040" windowHeight="15720" xr2:uid="{B0384462-B5CE-4D25-8FA7-71ADD38E0745}"/>
  </bookViews>
  <sheets>
    <sheet name="Users" sheetId="1" r:id="rId1"/>
    <sheet name="Test Data" sheetId="3" r:id="rId2"/>
    <sheet name="PY-3" sheetId="4" r:id="rId3"/>
    <sheet name="PY-2" sheetId="5" r:id="rId4"/>
    <sheet name="PY-1" sheetId="6" r:id="rId5"/>
    <sheet name="Budget" sheetId="7" r:id="rId6"/>
    <sheet name="YTD" sheetId="9" r:id="rId7"/>
    <sheet name="Summary" sheetId="8" r:id="rId8"/>
  </sheets>
  <calcPr calcId="191029"/>
  <pivotCaches>
    <pivotCache cacheId="4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1" i="8" l="1"/>
  <c r="W41" i="8"/>
  <c r="V41" i="8"/>
  <c r="U41" i="8"/>
  <c r="T41" i="8"/>
  <c r="U17" i="8"/>
  <c r="V17" i="8"/>
  <c r="W17" i="8"/>
  <c r="X17" i="8"/>
  <c r="T17" i="8"/>
  <c r="D1" i="8"/>
  <c r="E1" i="8" s="1"/>
  <c r="F1" i="8" s="1"/>
  <c r="G1" i="8" s="1"/>
  <c r="H1" i="8" s="1"/>
  <c r="I1" i="8" s="1"/>
  <c r="J1" i="8" s="1"/>
  <c r="K1" i="8" s="1"/>
  <c r="L1" i="8" s="1"/>
  <c r="M1" i="8" s="1"/>
  <c r="N1" i="8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A126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108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107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B3" i="8"/>
  <c r="C3" i="8"/>
  <c r="D3" i="8"/>
  <c r="E3" i="8"/>
  <c r="F3" i="8"/>
  <c r="G3" i="8"/>
  <c r="H3" i="8"/>
  <c r="I3" i="8"/>
  <c r="J3" i="8"/>
  <c r="K3" i="8"/>
  <c r="L3" i="8"/>
  <c r="M3" i="8"/>
  <c r="N3" i="8"/>
  <c r="A3" i="8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F14" i="1"/>
  <c r="E14" i="1"/>
  <c r="F12" i="1"/>
  <c r="E12" i="1"/>
  <c r="F10" i="1"/>
  <c r="E10" i="1"/>
  <c r="F8" i="1"/>
  <c r="E8" i="1"/>
  <c r="F7" i="1"/>
  <c r="E7" i="1"/>
  <c r="E4" i="1"/>
  <c r="F4" i="1"/>
  <c r="E5" i="1"/>
  <c r="F5" i="1"/>
  <c r="F3" i="1"/>
  <c r="E3" i="1"/>
  <c r="O93" i="8" l="1"/>
  <c r="P93" i="8" s="1"/>
  <c r="O101" i="8"/>
  <c r="P101" i="8" s="1"/>
  <c r="O109" i="8"/>
  <c r="P109" i="8" s="1"/>
  <c r="O117" i="8"/>
  <c r="P117" i="8" s="1"/>
  <c r="O125" i="8"/>
  <c r="P125" i="8" s="1"/>
  <c r="O47" i="8"/>
  <c r="P47" i="8" s="1"/>
  <c r="O79" i="8"/>
  <c r="P79" i="8" s="1"/>
  <c r="O63" i="8"/>
  <c r="P63" i="8" s="1"/>
  <c r="O92" i="8"/>
  <c r="P92" i="8" s="1"/>
  <c r="O100" i="8"/>
  <c r="P100" i="8" s="1"/>
  <c r="O108" i="8"/>
  <c r="P108" i="8" s="1"/>
  <c r="O116" i="8"/>
  <c r="P116" i="8" s="1"/>
  <c r="O124" i="8"/>
  <c r="P124" i="8" s="1"/>
  <c r="O29" i="8"/>
  <c r="P29" i="8" s="1"/>
  <c r="O15" i="8"/>
  <c r="P15" i="8" s="1"/>
  <c r="O31" i="8"/>
  <c r="P31" i="8" s="1"/>
  <c r="O13" i="8"/>
  <c r="P13" i="8" s="1"/>
  <c r="O91" i="8"/>
  <c r="P91" i="8" s="1"/>
  <c r="O107" i="8"/>
  <c r="P107" i="8" s="1"/>
  <c r="O51" i="8"/>
  <c r="P51" i="8" s="1"/>
  <c r="O35" i="8"/>
  <c r="P35" i="8" s="1"/>
  <c r="O146" i="8"/>
  <c r="P146" i="8" s="1"/>
  <c r="O130" i="8"/>
  <c r="P130" i="8" s="1"/>
  <c r="O34" i="8"/>
  <c r="P34" i="8" s="1"/>
  <c r="O18" i="8"/>
  <c r="P18" i="8" s="1"/>
  <c r="O81" i="8"/>
  <c r="P81" i="8" s="1"/>
  <c r="O65" i="8"/>
  <c r="P65" i="8" s="1"/>
  <c r="O147" i="8"/>
  <c r="P147" i="8" s="1"/>
  <c r="O131" i="8"/>
  <c r="P131" i="8" s="1"/>
  <c r="O39" i="8"/>
  <c r="P39" i="8" s="1"/>
  <c r="O123" i="8"/>
  <c r="P123" i="8" s="1"/>
  <c r="O21" i="8"/>
  <c r="P21" i="8" s="1"/>
  <c r="O30" i="8"/>
  <c r="P30" i="8" s="1"/>
  <c r="O40" i="8"/>
  <c r="P40" i="8" s="1"/>
  <c r="O23" i="8"/>
  <c r="P23" i="8" s="1"/>
  <c r="O7" i="8"/>
  <c r="P7" i="8" s="1"/>
  <c r="O57" i="8"/>
  <c r="P57" i="8" s="1"/>
  <c r="O41" i="8"/>
  <c r="P41" i="8" s="1"/>
  <c r="O86" i="8"/>
  <c r="P86" i="8" s="1"/>
  <c r="O78" i="8"/>
  <c r="P78" i="8" s="1"/>
  <c r="O70" i="8"/>
  <c r="P70" i="8" s="1"/>
  <c r="O62" i="8"/>
  <c r="P62" i="8" s="1"/>
  <c r="O152" i="8"/>
  <c r="P152" i="8" s="1"/>
  <c r="O136" i="8"/>
  <c r="P136" i="8" s="1"/>
  <c r="O90" i="8"/>
  <c r="P90" i="8" s="1"/>
  <c r="O106" i="8"/>
  <c r="P106" i="8" s="1"/>
  <c r="O122" i="8"/>
  <c r="P122" i="8" s="1"/>
  <c r="O76" i="8"/>
  <c r="P76" i="8" s="1"/>
  <c r="O77" i="8"/>
  <c r="P77" i="8" s="1"/>
  <c r="O14" i="8"/>
  <c r="P14" i="8" s="1"/>
  <c r="O24" i="8"/>
  <c r="P24" i="8" s="1"/>
  <c r="O8" i="8"/>
  <c r="P8" i="8" s="1"/>
  <c r="O58" i="8"/>
  <c r="P58" i="8" s="1"/>
  <c r="O42" i="8"/>
  <c r="P42" i="8" s="1"/>
  <c r="O87" i="8"/>
  <c r="P87" i="8" s="1"/>
  <c r="O71" i="8"/>
  <c r="P71" i="8" s="1"/>
  <c r="O137" i="8"/>
  <c r="P137" i="8" s="1"/>
  <c r="O5" i="8"/>
  <c r="P5" i="8" s="1"/>
  <c r="O142" i="8"/>
  <c r="P142" i="8" s="1"/>
  <c r="O89" i="8"/>
  <c r="P89" i="8" s="1"/>
  <c r="O105" i="8"/>
  <c r="P105" i="8" s="1"/>
  <c r="O121" i="8"/>
  <c r="P121" i="8" s="1"/>
  <c r="O126" i="8"/>
  <c r="P126" i="8" s="1"/>
  <c r="O22" i="8"/>
  <c r="P22" i="8" s="1"/>
  <c r="O135" i="8"/>
  <c r="P135" i="8" s="1"/>
  <c r="O25" i="8"/>
  <c r="P25" i="8" s="1"/>
  <c r="O9" i="8"/>
  <c r="P9" i="8" s="1"/>
  <c r="O59" i="8"/>
  <c r="P59" i="8" s="1"/>
  <c r="O43" i="8"/>
  <c r="P43" i="8" s="1"/>
  <c r="O72" i="8"/>
  <c r="P72" i="8" s="1"/>
  <c r="O138" i="8"/>
  <c r="P138" i="8" s="1"/>
  <c r="O88" i="8"/>
  <c r="P88" i="8" s="1"/>
  <c r="O104" i="8"/>
  <c r="P104" i="8" s="1"/>
  <c r="O120" i="8"/>
  <c r="P120" i="8" s="1"/>
  <c r="O139" i="8"/>
  <c r="P139" i="8" s="1"/>
  <c r="O68" i="8"/>
  <c r="P68" i="8" s="1"/>
  <c r="O6" i="8"/>
  <c r="P6" i="8" s="1"/>
  <c r="O69" i="8"/>
  <c r="P69" i="8" s="1"/>
  <c r="O26" i="8"/>
  <c r="P26" i="8" s="1"/>
  <c r="O10" i="8"/>
  <c r="P10" i="8" s="1"/>
  <c r="O60" i="8"/>
  <c r="P60" i="8" s="1"/>
  <c r="O52" i="8"/>
  <c r="P52" i="8" s="1"/>
  <c r="O44" i="8"/>
  <c r="P44" i="8" s="1"/>
  <c r="O36" i="8"/>
  <c r="P36" i="8" s="1"/>
  <c r="O73" i="8"/>
  <c r="P73" i="8" s="1"/>
  <c r="O134" i="8"/>
  <c r="P134" i="8" s="1"/>
  <c r="O19" i="8"/>
  <c r="P19" i="8" s="1"/>
  <c r="O83" i="8"/>
  <c r="P83" i="8" s="1"/>
  <c r="O67" i="8"/>
  <c r="P67" i="8" s="1"/>
  <c r="O95" i="8"/>
  <c r="P95" i="8" s="1"/>
  <c r="O96" i="8"/>
  <c r="P96" i="8" s="1"/>
  <c r="O97" i="8"/>
  <c r="P97" i="8" s="1"/>
  <c r="O98" i="8"/>
  <c r="P98" i="8" s="1"/>
  <c r="O99" i="8"/>
  <c r="P99" i="8" s="1"/>
  <c r="O103" i="8"/>
  <c r="P103" i="8" s="1"/>
  <c r="O111" i="8"/>
  <c r="P111" i="8" s="1"/>
  <c r="O112" i="8"/>
  <c r="P112" i="8" s="1"/>
  <c r="O113" i="8"/>
  <c r="P113" i="8" s="1"/>
  <c r="O114" i="8"/>
  <c r="P114" i="8" s="1"/>
  <c r="O115" i="8"/>
  <c r="P115" i="8" s="1"/>
  <c r="O119" i="8"/>
  <c r="P119" i="8" s="1"/>
  <c r="O55" i="8"/>
  <c r="P55" i="8" s="1"/>
  <c r="O84" i="8"/>
  <c r="P84" i="8" s="1"/>
  <c r="O27" i="8"/>
  <c r="P27" i="8" s="1"/>
  <c r="O11" i="8"/>
  <c r="P11" i="8" s="1"/>
  <c r="O61" i="8"/>
  <c r="P61" i="8" s="1"/>
  <c r="O53" i="8"/>
  <c r="P53" i="8" s="1"/>
  <c r="O50" i="8"/>
  <c r="P50" i="8" s="1"/>
  <c r="O45" i="8"/>
  <c r="P45" i="8" s="1"/>
  <c r="O37" i="8"/>
  <c r="P37" i="8" s="1"/>
  <c r="O82" i="8"/>
  <c r="P82" i="8" s="1"/>
  <c r="O74" i="8"/>
  <c r="P74" i="8" s="1"/>
  <c r="O66" i="8"/>
  <c r="P66" i="8" s="1"/>
  <c r="O148" i="8"/>
  <c r="P148" i="8" s="1"/>
  <c r="O140" i="8"/>
  <c r="P140" i="8" s="1"/>
  <c r="O132" i="8"/>
  <c r="P132" i="8" s="1"/>
  <c r="O150" i="8"/>
  <c r="P150" i="8" s="1"/>
  <c r="O85" i="8"/>
  <c r="P85" i="8" s="1"/>
  <c r="O151" i="8"/>
  <c r="P151" i="8" s="1"/>
  <c r="O3" i="8"/>
  <c r="P3" i="8" s="1"/>
  <c r="O33" i="8"/>
  <c r="P33" i="8" s="1"/>
  <c r="O17" i="8"/>
  <c r="P17" i="8" s="1"/>
  <c r="O49" i="8"/>
  <c r="P49" i="8" s="1"/>
  <c r="O94" i="8"/>
  <c r="P94" i="8" s="1"/>
  <c r="O102" i="8"/>
  <c r="P102" i="8" s="1"/>
  <c r="O110" i="8"/>
  <c r="P110" i="8" s="1"/>
  <c r="O118" i="8"/>
  <c r="P118" i="8" s="1"/>
  <c r="O145" i="8"/>
  <c r="P145" i="8" s="1"/>
  <c r="O129" i="8"/>
  <c r="P129" i="8" s="1"/>
  <c r="O128" i="8"/>
  <c r="P128" i="8" s="1"/>
  <c r="O56" i="8"/>
  <c r="P56" i="8" s="1"/>
  <c r="O32" i="8"/>
  <c r="P32" i="8" s="1"/>
  <c r="O28" i="8"/>
  <c r="P28" i="8" s="1"/>
  <c r="O20" i="8"/>
  <c r="P20" i="8" s="1"/>
  <c r="O16" i="8"/>
  <c r="P16" i="8" s="1"/>
  <c r="O12" i="8"/>
  <c r="P12" i="8" s="1"/>
  <c r="O4" i="8"/>
  <c r="P4" i="8" s="1"/>
  <c r="O54" i="8"/>
  <c r="P54" i="8" s="1"/>
  <c r="O48" i="8"/>
  <c r="P48" i="8" s="1"/>
  <c r="O46" i="8"/>
  <c r="P46" i="8" s="1"/>
  <c r="O38" i="8"/>
  <c r="P38" i="8" s="1"/>
  <c r="O80" i="8"/>
  <c r="P80" i="8" s="1"/>
  <c r="O75" i="8"/>
  <c r="P75" i="8" s="1"/>
  <c r="O64" i="8"/>
  <c r="P64" i="8" s="1"/>
  <c r="O149" i="8"/>
  <c r="P149" i="8" s="1"/>
  <c r="O144" i="8"/>
  <c r="P144" i="8" s="1"/>
  <c r="O143" i="8"/>
  <c r="P143" i="8" s="1"/>
  <c r="O141" i="8"/>
  <c r="P141" i="8" s="1"/>
  <c r="O133" i="8"/>
  <c r="P133" i="8" s="1"/>
  <c r="O127" i="8"/>
  <c r="P127" i="8" s="1"/>
</calcChain>
</file>

<file path=xl/sharedStrings.xml><?xml version="1.0" encoding="utf-8"?>
<sst xmlns="http://schemas.openxmlformats.org/spreadsheetml/2006/main" count="610" uniqueCount="150">
  <si>
    <t>SalesPersonAndebe1@test.co.za</t>
  </si>
  <si>
    <t>Sales Person 1 Andebe</t>
  </si>
  <si>
    <t>SalesPersonAndebe2@test.co.za</t>
  </si>
  <si>
    <t>SalesPersonAndebe3@test.co.za</t>
  </si>
  <si>
    <t>Sales Person 2 Andebe</t>
  </si>
  <si>
    <t>Sales Person 3 Andebe</t>
  </si>
  <si>
    <t>ManagerAndebe1@test.co.za</t>
  </si>
  <si>
    <t>ManagerAndebe2@test.co.za</t>
  </si>
  <si>
    <t>Manager 1 Andebe</t>
  </si>
  <si>
    <t>Manager 2 Andebe</t>
  </si>
  <si>
    <t>Admin Andebe</t>
  </si>
  <si>
    <t>Speccon</t>
  </si>
  <si>
    <t>AdminAndebe@test.co.za</t>
  </si>
  <si>
    <t>Group Manager Andebe</t>
  </si>
  <si>
    <t>GroupsalesManagerAndebe@test.co.za</t>
  </si>
  <si>
    <t>Email</t>
  </si>
  <si>
    <t>Display Name</t>
  </si>
  <si>
    <t>Password</t>
  </si>
  <si>
    <t>Dafault Role</t>
  </si>
  <si>
    <t>Sales Person</t>
  </si>
  <si>
    <t>Manager</t>
  </si>
  <si>
    <t>Group Sales Managers</t>
  </si>
  <si>
    <t>Tenant</t>
  </si>
  <si>
    <t>Heinrich Sales person</t>
  </si>
  <si>
    <t>heinrichsalesperson@test.com</t>
  </si>
  <si>
    <t>Chandelle</t>
  </si>
  <si>
    <t>salesperson1@test.com</t>
  </si>
  <si>
    <t>Glen</t>
  </si>
  <si>
    <t>salesperson2@test.com</t>
  </si>
  <si>
    <t>Fred</t>
  </si>
  <si>
    <t>managertest@speccon.co.za</t>
  </si>
  <si>
    <t>hein@trouidees.co.za</t>
  </si>
  <si>
    <t>salesperson3@test.com</t>
  </si>
  <si>
    <t>Chantal</t>
  </si>
  <si>
    <t>Pierre</t>
  </si>
  <si>
    <t>ManagerSpeccon@test.com</t>
  </si>
  <si>
    <t>Sales person</t>
  </si>
  <si>
    <t>Admin</t>
  </si>
  <si>
    <t>Group Sales manager</t>
  </si>
  <si>
    <t>Accountant</t>
  </si>
  <si>
    <t>Speccon Accountant</t>
  </si>
  <si>
    <t>specconaccountant@test.com</t>
  </si>
  <si>
    <t>Andebeaccountant@test.com</t>
  </si>
  <si>
    <t>Andebe Accountant</t>
  </si>
  <si>
    <t>Megro</t>
  </si>
  <si>
    <t>Andebe</t>
  </si>
  <si>
    <t>New: Infinity</t>
  </si>
  <si>
    <t>Clients</t>
  </si>
  <si>
    <t>Etion (S)</t>
  </si>
  <si>
    <t>AVI (S)</t>
  </si>
  <si>
    <t>The Digital Academy (S)</t>
  </si>
  <si>
    <t>Afgri (S)</t>
  </si>
  <si>
    <t>Komatsu (S)</t>
  </si>
  <si>
    <t>Aberdare (M)</t>
  </si>
  <si>
    <t>Cure Day Hospitals (M)</t>
  </si>
  <si>
    <t>Bestmed (M)</t>
  </si>
  <si>
    <t>Mabilo Investments (M)</t>
  </si>
  <si>
    <t>Imperial Logistics (M)</t>
  </si>
  <si>
    <t>LSL Consulting (M)</t>
  </si>
  <si>
    <t>Ambledown Financial Services (M)</t>
  </si>
  <si>
    <t>Tribe Impact Consulting (A)</t>
  </si>
  <si>
    <t>Tanker Services a Diviosion of ILSA Group (A)</t>
  </si>
  <si>
    <t>EduLife (A)</t>
  </si>
  <si>
    <t>Triveni Turbines Africa (A)</t>
  </si>
  <si>
    <t>The Printer Distribution Company (A)</t>
  </si>
  <si>
    <t>Grand Gaming Gauteng (I)</t>
  </si>
  <si>
    <t>TNB Global (I)</t>
  </si>
  <si>
    <t>npx playwright test --project=e2e-setup --project=e2e-users --project=e2e-clients --project=e2e-forecasts --project=e2e-visibility --project=e2e-tenant-isolation --project=e2e-manager-isolation</t>
  </si>
  <si>
    <t>npx playwright test tests/e2e/01-tenant-setup.spec.ts --project=e2e-setup</t>
  </si>
  <si>
    <t>SalesPersonInfinity1@test.co.za</t>
  </si>
  <si>
    <t>Sales Person 1 Infinity</t>
  </si>
  <si>
    <t>SalesPersonInfinity2@test.co.za</t>
  </si>
  <si>
    <t>Sales Person 2 Infinity</t>
  </si>
  <si>
    <t>SalesPersonInfinity3@test.co.za</t>
  </si>
  <si>
    <t>Sales Person 3 Infinity</t>
  </si>
  <si>
    <t>ManagerInfinity1@test.co.za</t>
  </si>
  <si>
    <t>Manager 1 Infinity</t>
  </si>
  <si>
    <t>ManagerInfinity2@test.co.za</t>
  </si>
  <si>
    <t>Manager 2 Infinity</t>
  </si>
  <si>
    <t>AdminInfinity@test.co.za</t>
  </si>
  <si>
    <t>Admin Infinity</t>
  </si>
  <si>
    <t>GroupsalesManagerInfinity@test.co.za</t>
  </si>
  <si>
    <t>Group Manager Infinity</t>
  </si>
  <si>
    <t>Client Name</t>
  </si>
  <si>
    <t>Product Name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</si>
  <si>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</si>
  <si>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</si>
  <si>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</si>
  <si>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</si>
  <si>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</si>
  <si>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</si>
  <si>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</si>
  <si>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</si>
  <si>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</si>
  <si>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</si>
  <si>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</si>
  <si>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</si>
  <si>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Learnerships</t>
  </si>
  <si>
    <t>TAP Business</t>
  </si>
  <si>
    <t>ABSA</t>
  </si>
  <si>
    <t>FNB</t>
  </si>
  <si>
    <t>STND BANK</t>
  </si>
  <si>
    <t>INVESTEC</t>
  </si>
  <si>
    <t>Source</t>
  </si>
  <si>
    <t>PY-3</t>
  </si>
  <si>
    <t>PY-2</t>
  </si>
  <si>
    <t>PY-1</t>
  </si>
  <si>
    <t>Budget</t>
  </si>
  <si>
    <t>Column Labels</t>
  </si>
  <si>
    <t>Grand Total</t>
  </si>
  <si>
    <t>Total</t>
  </si>
  <si>
    <t>Sum of Total</t>
  </si>
  <si>
    <t>Row Labels</t>
  </si>
  <si>
    <t>AVI</t>
  </si>
  <si>
    <t>Tech Solutions SA</t>
  </si>
  <si>
    <t>Greenfield High School</t>
  </si>
  <si>
    <t>ABC Manufacturing</t>
  </si>
  <si>
    <t>Metro Logistics</t>
  </si>
  <si>
    <t>Premier Academy</t>
  </si>
  <si>
    <t>Other Courses</t>
  </si>
  <si>
    <t xml:space="preserve">Compliance Training </t>
  </si>
  <si>
    <t>YTD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</si>
  <si>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</si>
  <si>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</si>
  <si>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</si>
  <si>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</si>
  <si>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</si>
  <si>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</si>
  <si>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</si>
  <si>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</si>
  <si>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</si>
  <si>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</si>
  <si>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</si>
  <si>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</si>
  <si>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Sum of YTD</t>
  </si>
  <si>
    <t>Username</t>
  </si>
  <si>
    <t>Speccon1379!</t>
  </si>
  <si>
    <t>Hermias</t>
  </si>
  <si>
    <t>Role</t>
  </si>
  <si>
    <t>Group Sales Manager</t>
  </si>
  <si>
    <t>Sales Manager</t>
  </si>
  <si>
    <t>Thabani</t>
  </si>
  <si>
    <t>Sales People</t>
  </si>
  <si>
    <t>Frans</t>
  </si>
  <si>
    <t>Lucinda</t>
  </si>
  <si>
    <t>Stephanie</t>
  </si>
  <si>
    <t>salesperson4@test.com</t>
  </si>
  <si>
    <t>salesperson5@test.com</t>
  </si>
  <si>
    <t>salesperson6@test.com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</si>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</sst>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2" fillId="0" borderId="0" xfId="1" applyFill="1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2" applyNumberFormat="1" applyFont="1"/>
    <xf numFmtId="164" fontId="0" fillId="0" borderId="0" xfId="2" applyNumberFormat="1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2" applyNumberFormat="1" applyFont="1"/>
    <xf numFmtId="0" fontId="0" fillId="0" borderId="0" xfId="0" applyFill="1"/>
  </cellXfs>
  <cellStyles count="3">
    <cellStyle name="Comma" xfId="2" builtinId="3"/>
    <cellStyle name="Hyperlink" xfId="1" builtinId="8"/>
    <cellStyle name="Normal" xfId="0" builtinId="0"/>
  </cellStyles>
  <dxfs count="56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0.307139351855" createdVersion="8" refreshedVersion="8" minRefreshableVersion="3" recordCount="150" xr:uid="{14DFA936-879C-49F2-9A83-955D6C3C112B}">
  <cacheSource type="worksheet">
    <worksheetSource ref="A2:Q152" sheet="Summary"/>
  </cacheSource>
  <cacheFields count="17">
    <cacheField name="Client Name" numFmtId="0">
      <sharedItems count="11">
        <s v="Tech Solutions SA"/>
        <s v="ABC Manufacturing"/>
        <s v="ABSA"/>
        <s v="Premier Academy"/>
        <s v="Speccon"/>
        <s v="AVI"/>
        <s v="Metro Logistics"/>
        <s v="Greenfield High School"/>
        <s v="INVESTEC"/>
        <s v="STND BANK"/>
        <s v="FNB"/>
      </sharedItems>
    </cacheField>
    <cacheField name="Product Name" numFmtId="0">
      <sharedItems/>
    </cacheField>
    <cacheField name="Month 1" numFmtId="164">
      <sharedItems containsSemiMixedTypes="0" containsString="0" containsNumber="1" containsInteger="1" minValue="1967" maxValue="108637"/>
    </cacheField>
    <cacheField name="Month 2" numFmtId="164">
      <sharedItems containsSemiMixedTypes="0" containsString="0" containsNumber="1" containsInteger="1" minValue="353" maxValue="108543"/>
    </cacheField>
    <cacheField name="Month 3" numFmtId="164">
      <sharedItems containsSemiMixedTypes="0" containsString="0" containsNumber="1" containsInteger="1" minValue="59" maxValue="107225"/>
    </cacheField>
    <cacheField name="Month 4" numFmtId="164">
      <sharedItems containsSemiMixedTypes="0" containsString="0" containsNumber="1" containsInteger="1" minValue="1143" maxValue="109635"/>
    </cacheField>
    <cacheField name="Month 5" numFmtId="164">
      <sharedItems containsSemiMixedTypes="0" containsString="0" containsNumber="1" containsInteger="1" minValue="1780" maxValue="108449"/>
    </cacheField>
    <cacheField name="Month 6" numFmtId="164">
      <sharedItems containsSemiMixedTypes="0" containsString="0" containsNumber="1" containsInteger="1" minValue="1110" maxValue="109770"/>
    </cacheField>
    <cacheField name="Month 7" numFmtId="164">
      <sharedItems containsSemiMixedTypes="0" containsString="0" containsNumber="1" containsInteger="1" minValue="1019" maxValue="107731"/>
    </cacheField>
    <cacheField name="Month 8" numFmtId="164">
      <sharedItems containsSemiMixedTypes="0" containsString="0" containsNumber="1" containsInteger="1" minValue="4568" maxValue="104047"/>
    </cacheField>
    <cacheField name="Month 9" numFmtId="164">
      <sharedItems containsSemiMixedTypes="0" containsString="0" containsNumber="1" containsInteger="1" minValue="320" maxValue="104205"/>
    </cacheField>
    <cacheField name="Month 10" numFmtId="164">
      <sharedItems containsSemiMixedTypes="0" containsString="0" containsNumber="1" containsInteger="1" minValue="399" maxValue="108857"/>
    </cacheField>
    <cacheField name="Month 11" numFmtId="164">
      <sharedItems containsSemiMixedTypes="0" containsString="0" containsNumber="1" containsInteger="1" minValue="286" maxValue="108363"/>
    </cacheField>
    <cacheField name="Month 12" numFmtId="164">
      <sharedItems containsSemiMixedTypes="0" containsString="0" containsNumber="1" containsInteger="1" minValue="0" maxValue="105566"/>
    </cacheField>
    <cacheField name="Total" numFmtId="164">
      <sharedItems containsSemiMixedTypes="0" containsString="0" containsNumber="1" containsInteger="1" minValue="311617" maxValue="890676"/>
    </cacheField>
    <cacheField name="YTD" numFmtId="164">
      <sharedItems containsSemiMixedTypes="0" containsString="0" containsNumber="1" containsInteger="1" minValue="203305" maxValue="626297"/>
    </cacheField>
    <cacheField name="Source" numFmtId="0">
      <sharedItems count="5">
        <s v="PY-3"/>
        <s v="PY-2"/>
        <s v="PY-1"/>
        <s v="Budget"/>
        <s v="YT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Other Courses"/>
    <n v="9138"/>
    <n v="1517"/>
    <n v="79142"/>
    <n v="65749"/>
    <n v="1780"/>
    <n v="76631"/>
    <n v="78420"/>
    <n v="24088"/>
    <n v="37438"/>
    <n v="22236"/>
    <n v="70583"/>
    <n v="18542"/>
    <n v="485264"/>
    <n v="336465"/>
    <x v="0"/>
  </r>
  <r>
    <x v="1"/>
    <s v="Compliance Training "/>
    <n v="43753"/>
    <n v="50181"/>
    <n v="11954"/>
    <n v="20387"/>
    <n v="4613"/>
    <n v="52862"/>
    <n v="59258"/>
    <n v="21761"/>
    <n v="88380"/>
    <n v="22742"/>
    <n v="97518"/>
    <n v="8904"/>
    <n v="482313"/>
    <n v="264769"/>
    <x v="0"/>
  </r>
  <r>
    <x v="2"/>
    <s v="Learnerships"/>
    <n v="94189"/>
    <n v="99333"/>
    <n v="25781"/>
    <n v="49049"/>
    <n v="64407"/>
    <n v="92515"/>
    <n v="41104"/>
    <n v="94769"/>
    <n v="27497"/>
    <n v="59193"/>
    <n v="60192"/>
    <n v="94503"/>
    <n v="802532"/>
    <n v="561147"/>
    <x v="0"/>
  </r>
  <r>
    <x v="2"/>
    <s v="Compliance Training "/>
    <n v="63506"/>
    <n v="81273"/>
    <n v="49725"/>
    <n v="25352"/>
    <n v="38996"/>
    <n v="15554"/>
    <n v="77906"/>
    <n v="86796"/>
    <n v="55329"/>
    <n v="28265"/>
    <n v="59135"/>
    <n v="84852"/>
    <n v="666689"/>
    <n v="439108"/>
    <x v="0"/>
  </r>
  <r>
    <x v="3"/>
    <s v="Other Courses"/>
    <n v="97390"/>
    <n v="26084"/>
    <n v="80039"/>
    <n v="55087"/>
    <n v="40990"/>
    <n v="13015"/>
    <n v="56238"/>
    <n v="75156"/>
    <n v="71301"/>
    <n v="64060"/>
    <n v="78841"/>
    <n v="35811"/>
    <n v="694012"/>
    <n v="443999"/>
    <x v="0"/>
  </r>
  <r>
    <x v="4"/>
    <s v="TAP Business"/>
    <n v="7258"/>
    <n v="41063"/>
    <n v="14414"/>
    <n v="87167"/>
    <n v="59661"/>
    <n v="39437"/>
    <n v="15768"/>
    <n v="53341"/>
    <n v="92354"/>
    <n v="43004"/>
    <n v="90809"/>
    <n v="71410"/>
    <n v="615686"/>
    <n v="318109"/>
    <x v="0"/>
  </r>
  <r>
    <x v="5"/>
    <s v="Compliance Training "/>
    <n v="54908"/>
    <n v="90880"/>
    <n v="11435"/>
    <n v="33871"/>
    <n v="18505"/>
    <n v="97662"/>
    <n v="55696"/>
    <n v="9413"/>
    <n v="82484"/>
    <n v="41288"/>
    <n v="8349"/>
    <n v="61451"/>
    <n v="565942"/>
    <n v="372370"/>
    <x v="0"/>
  </r>
  <r>
    <x v="0"/>
    <s v="Learnerships"/>
    <n v="38260"/>
    <n v="47838"/>
    <n v="4974"/>
    <n v="76621"/>
    <n v="58829"/>
    <n v="50521"/>
    <n v="1019"/>
    <n v="66841"/>
    <n v="320"/>
    <n v="81686"/>
    <n v="66422"/>
    <n v="48526"/>
    <n v="541857"/>
    <n v="344903"/>
    <x v="0"/>
  </r>
  <r>
    <x v="6"/>
    <s v="Compliance Training "/>
    <n v="25927"/>
    <n v="45872"/>
    <n v="6347"/>
    <n v="19996"/>
    <n v="19492"/>
    <n v="8297"/>
    <n v="25448"/>
    <n v="51926"/>
    <n v="11450"/>
    <n v="31186"/>
    <n v="38653"/>
    <n v="27023"/>
    <n v="311617"/>
    <n v="203305"/>
    <x v="0"/>
  </r>
  <r>
    <x v="5"/>
    <s v="Learnerships"/>
    <n v="81036"/>
    <n v="77363"/>
    <n v="60532"/>
    <n v="43129"/>
    <n v="26424"/>
    <n v="46771"/>
    <n v="61150"/>
    <n v="86862"/>
    <n v="48290"/>
    <n v="27969"/>
    <n v="84329"/>
    <n v="40266"/>
    <n v="684121"/>
    <n v="483267"/>
    <x v="0"/>
  </r>
  <r>
    <x v="7"/>
    <s v="Compliance Training "/>
    <n v="6333"/>
    <n v="14621"/>
    <n v="99633"/>
    <n v="67398"/>
    <n v="45837"/>
    <n v="92864"/>
    <n v="60525"/>
    <n v="89615"/>
    <n v="79960"/>
    <n v="49979"/>
    <n v="50054"/>
    <n v="69936"/>
    <n v="726755"/>
    <n v="476826"/>
    <x v="0"/>
  </r>
  <r>
    <x v="4"/>
    <s v="Other Courses"/>
    <n v="21786"/>
    <n v="70127"/>
    <n v="6333"/>
    <n v="92239"/>
    <n v="48518"/>
    <n v="33200"/>
    <n v="28391"/>
    <n v="71380"/>
    <n v="56255"/>
    <n v="65222"/>
    <n v="48641"/>
    <n v="82722"/>
    <n v="624814"/>
    <n v="371974"/>
    <x v="0"/>
  </r>
  <r>
    <x v="3"/>
    <s v="Compliance Training "/>
    <n v="91455"/>
    <n v="38360"/>
    <n v="40583"/>
    <n v="7086"/>
    <n v="8197"/>
    <n v="58082"/>
    <n v="65530"/>
    <n v="35174"/>
    <n v="29276"/>
    <n v="35419"/>
    <n v="76926"/>
    <n v="51312"/>
    <n v="537400"/>
    <n v="344467"/>
    <x v="0"/>
  </r>
  <r>
    <x v="6"/>
    <s v="TAP Business"/>
    <n v="84644"/>
    <n v="41594"/>
    <n v="75977"/>
    <n v="60817"/>
    <n v="10556"/>
    <n v="99400"/>
    <n v="53683"/>
    <n v="19569"/>
    <n v="20270"/>
    <n v="48214"/>
    <n v="89787"/>
    <n v="69068"/>
    <n v="673579"/>
    <n v="446240"/>
    <x v="0"/>
  </r>
  <r>
    <x v="5"/>
    <s v="TAP Business"/>
    <n v="22300"/>
    <n v="85109"/>
    <n v="7262"/>
    <n v="32601"/>
    <n v="74115"/>
    <n v="63195"/>
    <n v="75439"/>
    <n v="23968"/>
    <n v="35113"/>
    <n v="34926"/>
    <n v="94234"/>
    <n v="59637"/>
    <n v="607899"/>
    <n v="383989"/>
    <x v="0"/>
  </r>
  <r>
    <x v="0"/>
    <s v="TAP Business"/>
    <n v="71247"/>
    <n v="85496"/>
    <n v="41717"/>
    <n v="59602"/>
    <n v="79837"/>
    <n v="95439"/>
    <n v="22982"/>
    <n v="46171"/>
    <n v="61190"/>
    <n v="25649"/>
    <n v="70191"/>
    <n v="72487"/>
    <n v="732008"/>
    <n v="502491"/>
    <x v="0"/>
  </r>
  <r>
    <x v="7"/>
    <s v="Learnerships"/>
    <n v="67055"/>
    <n v="91926"/>
    <n v="91994"/>
    <n v="94246"/>
    <n v="79213"/>
    <n v="99776"/>
    <n v="12072"/>
    <n v="85997"/>
    <n v="56744"/>
    <n v="20461"/>
    <n v="73947"/>
    <n v="36953"/>
    <n v="810384"/>
    <n v="622279"/>
    <x v="0"/>
  </r>
  <r>
    <x v="0"/>
    <s v="Compliance Training "/>
    <n v="93669"/>
    <n v="57970"/>
    <n v="18170"/>
    <n v="76437"/>
    <n v="30660"/>
    <n v="64232"/>
    <n v="10792"/>
    <n v="4568"/>
    <n v="4310"/>
    <n v="12397"/>
    <n v="26151"/>
    <n v="2946"/>
    <n v="402302"/>
    <n v="356498"/>
    <x v="0"/>
  </r>
  <r>
    <x v="3"/>
    <s v="Learnerships"/>
    <n v="15866"/>
    <n v="95702"/>
    <n v="30882"/>
    <n v="26927"/>
    <n v="17465"/>
    <n v="27495"/>
    <n v="46446"/>
    <n v="92802"/>
    <n v="8769"/>
    <n v="63780"/>
    <n v="98030"/>
    <n v="42770"/>
    <n v="566934"/>
    <n v="353585"/>
    <x v="0"/>
  </r>
  <r>
    <x v="7"/>
    <s v="Other Courses"/>
    <n v="68864"/>
    <n v="95319"/>
    <n v="35509"/>
    <n v="25206"/>
    <n v="37142"/>
    <n v="19641"/>
    <n v="81324"/>
    <n v="65564"/>
    <n v="23171"/>
    <n v="83973"/>
    <n v="28736"/>
    <n v="82626"/>
    <n v="647075"/>
    <n v="428569"/>
    <x v="0"/>
  </r>
  <r>
    <x v="6"/>
    <s v="Other Courses"/>
    <n v="68027"/>
    <n v="71055"/>
    <n v="50067"/>
    <n v="42679"/>
    <n v="62074"/>
    <n v="51214"/>
    <n v="58551"/>
    <n v="40340"/>
    <n v="28162"/>
    <n v="91034"/>
    <n v="20684"/>
    <n v="31133"/>
    <n v="615020"/>
    <n v="444007"/>
    <x v="0"/>
  </r>
  <r>
    <x v="1"/>
    <s v="TAP Business"/>
    <n v="36706"/>
    <n v="1096"/>
    <n v="21276"/>
    <n v="55989"/>
    <n v="30192"/>
    <n v="10206"/>
    <n v="20109"/>
    <n v="33517"/>
    <n v="56808"/>
    <n v="71883"/>
    <n v="47065"/>
    <n v="13673"/>
    <n v="398520"/>
    <n v="209091"/>
    <x v="0"/>
  </r>
  <r>
    <x v="6"/>
    <s v="Learnerships"/>
    <n v="17977"/>
    <n v="75707"/>
    <n v="19863"/>
    <n v="30875"/>
    <n v="61607"/>
    <n v="81053"/>
    <n v="27979"/>
    <n v="97612"/>
    <n v="22261"/>
    <n v="86493"/>
    <n v="5388"/>
    <n v="9803"/>
    <n v="536618"/>
    <n v="412673"/>
    <x v="0"/>
  </r>
  <r>
    <x v="1"/>
    <s v="Other Courses"/>
    <n v="93820"/>
    <n v="67428"/>
    <n v="67244"/>
    <n v="48128"/>
    <n v="53384"/>
    <n v="50430"/>
    <n v="86675"/>
    <n v="97407"/>
    <n v="85530"/>
    <n v="6801"/>
    <n v="1571"/>
    <n v="40846"/>
    <n v="699264"/>
    <n v="564516"/>
    <x v="0"/>
  </r>
  <r>
    <x v="2"/>
    <s v="Other Courses"/>
    <n v="61202"/>
    <n v="95255"/>
    <n v="33395"/>
    <n v="27800"/>
    <n v="33300"/>
    <n v="35040"/>
    <n v="98526"/>
    <n v="76656"/>
    <n v="98858"/>
    <n v="45848"/>
    <n v="11186"/>
    <n v="64825"/>
    <n v="681891"/>
    <n v="461174"/>
    <x v="0"/>
  </r>
  <r>
    <x v="4"/>
    <s v="Compliance Training "/>
    <n v="83728"/>
    <n v="15762"/>
    <n v="7982"/>
    <n v="41529"/>
    <n v="78987"/>
    <n v="20325"/>
    <n v="99237"/>
    <n v="29204"/>
    <n v="89754"/>
    <n v="43735"/>
    <n v="93624"/>
    <n v="63399"/>
    <n v="667266"/>
    <n v="376754"/>
    <x v="0"/>
  </r>
  <r>
    <x v="1"/>
    <s v="Learnerships"/>
    <n v="73495"/>
    <n v="28654"/>
    <n v="66709"/>
    <n v="70582"/>
    <n v="36804"/>
    <n v="82961"/>
    <n v="21977"/>
    <n v="78340"/>
    <n v="50488"/>
    <n v="90225"/>
    <n v="68056"/>
    <n v="35967"/>
    <n v="704258"/>
    <n v="459522"/>
    <x v="0"/>
  </r>
  <r>
    <x v="3"/>
    <s v="TAP Business"/>
    <n v="32253"/>
    <n v="53684"/>
    <n v="98525"/>
    <n v="81214"/>
    <n v="21861"/>
    <n v="14585"/>
    <n v="21071"/>
    <n v="50437"/>
    <n v="34753"/>
    <n v="10848"/>
    <n v="97140"/>
    <n v="88031"/>
    <n v="604402"/>
    <n v="373630"/>
    <x v="0"/>
  </r>
  <r>
    <x v="4"/>
    <s v="Learnerships"/>
    <n v="61980"/>
    <n v="12972"/>
    <n v="6962"/>
    <n v="93709"/>
    <n v="3745"/>
    <n v="9524"/>
    <n v="8724"/>
    <n v="31904"/>
    <n v="68350"/>
    <n v="87600"/>
    <n v="31696"/>
    <n v="77209"/>
    <n v="494375"/>
    <n v="229520"/>
    <x v="0"/>
  </r>
  <r>
    <x v="2"/>
    <s v="TAP Business"/>
    <n v="21489"/>
    <n v="16570"/>
    <n v="6744"/>
    <n v="10501"/>
    <n v="99090"/>
    <n v="36324"/>
    <n v="28588"/>
    <n v="85430"/>
    <n v="44555"/>
    <n v="26991"/>
    <n v="46473"/>
    <n v="10605"/>
    <n v="433360"/>
    <n v="304736"/>
    <x v="0"/>
  </r>
  <r>
    <x v="7"/>
    <s v="TAP Business"/>
    <n v="32054"/>
    <n v="3214"/>
    <n v="32468"/>
    <n v="21409"/>
    <n v="53795"/>
    <n v="23578"/>
    <n v="92447"/>
    <n v="81472"/>
    <n v="23794"/>
    <n v="37739"/>
    <n v="82147"/>
    <n v="8018"/>
    <n v="492135"/>
    <n v="340437"/>
    <x v="0"/>
  </r>
  <r>
    <x v="5"/>
    <s v="Other Courses"/>
    <n v="49346"/>
    <n v="66321"/>
    <n v="65012"/>
    <n v="29771"/>
    <n v="88963"/>
    <n v="6028"/>
    <n v="90784"/>
    <n v="54941"/>
    <n v="7203"/>
    <n v="26863"/>
    <n v="84143"/>
    <n v="29431"/>
    <n v="598806"/>
    <n v="451166"/>
    <x v="0"/>
  </r>
  <r>
    <x v="0"/>
    <s v="Learnerships"/>
    <n v="1967"/>
    <n v="45170"/>
    <n v="72298"/>
    <n v="6758"/>
    <n v="96800"/>
    <n v="23834"/>
    <n v="56220"/>
    <n v="24071"/>
    <n v="15100"/>
    <n v="56077"/>
    <n v="95329"/>
    <n v="30236"/>
    <n v="523860"/>
    <n v="327118"/>
    <x v="1"/>
  </r>
  <r>
    <x v="4"/>
    <s v="Other Courses"/>
    <n v="17514"/>
    <n v="86441"/>
    <n v="42209"/>
    <n v="46051"/>
    <n v="12005"/>
    <n v="90366"/>
    <n v="99214"/>
    <n v="34262"/>
    <n v="70875"/>
    <n v="9849"/>
    <n v="63014"/>
    <n v="61375"/>
    <n v="633175"/>
    <n v="428062"/>
    <x v="1"/>
  </r>
  <r>
    <x v="3"/>
    <s v="Other Courses"/>
    <n v="89416"/>
    <n v="16886"/>
    <n v="77480"/>
    <n v="67251"/>
    <n v="82651"/>
    <n v="23575"/>
    <n v="35164"/>
    <n v="31586"/>
    <n v="51185"/>
    <n v="12232"/>
    <n v="54200"/>
    <n v="73612"/>
    <n v="615238"/>
    <n v="424009"/>
    <x v="1"/>
  </r>
  <r>
    <x v="1"/>
    <s v="Compliance Training "/>
    <n v="46867"/>
    <n v="39193"/>
    <n v="7321"/>
    <n v="46072"/>
    <n v="14209"/>
    <n v="82167"/>
    <n v="41795"/>
    <n v="72227"/>
    <n v="97311"/>
    <n v="6948"/>
    <n v="23515"/>
    <n v="60705"/>
    <n v="538330"/>
    <n v="349851"/>
    <x v="1"/>
  </r>
  <r>
    <x v="6"/>
    <s v="TAP Business"/>
    <n v="34340"/>
    <n v="25856"/>
    <n v="6124"/>
    <n v="69265"/>
    <n v="77276"/>
    <n v="81059"/>
    <n v="71529"/>
    <n v="57024"/>
    <n v="38206"/>
    <n v="51543"/>
    <n v="74224"/>
    <n v="77067"/>
    <n v="663513"/>
    <n v="422473"/>
    <x v="1"/>
  </r>
  <r>
    <x v="1"/>
    <s v="Other Courses"/>
    <n v="51512"/>
    <n v="80804"/>
    <n v="93527"/>
    <n v="8988"/>
    <n v="91669"/>
    <n v="24742"/>
    <n v="18549"/>
    <n v="90598"/>
    <n v="59165"/>
    <n v="57828"/>
    <n v="39853"/>
    <n v="82596"/>
    <n v="699831"/>
    <n v="460389"/>
    <x v="1"/>
  </r>
  <r>
    <x v="4"/>
    <s v="TAP Business"/>
    <n v="40294"/>
    <n v="31966"/>
    <n v="4506"/>
    <n v="83899"/>
    <n v="10470"/>
    <n v="68370"/>
    <n v="3069"/>
    <n v="56024"/>
    <n v="43082"/>
    <n v="72813"/>
    <n v="47421"/>
    <n v="79169"/>
    <n v="541083"/>
    <n v="298598"/>
    <x v="1"/>
  </r>
  <r>
    <x v="0"/>
    <s v="Compliance Training "/>
    <n v="38800"/>
    <n v="79645"/>
    <n v="67054"/>
    <n v="90135"/>
    <n v="17571"/>
    <n v="40884"/>
    <n v="83383"/>
    <n v="87642"/>
    <n v="49316"/>
    <n v="96829"/>
    <n v="37293"/>
    <n v="98106"/>
    <n v="786658"/>
    <n v="505114"/>
    <x v="1"/>
  </r>
  <r>
    <x v="1"/>
    <s v="TAP Business"/>
    <n v="32962"/>
    <n v="11295"/>
    <n v="48509"/>
    <n v="67698"/>
    <n v="16687"/>
    <n v="6529"/>
    <n v="23163"/>
    <n v="50393"/>
    <n v="11128"/>
    <n v="20225"/>
    <n v="70140"/>
    <n v="34503"/>
    <n v="393232"/>
    <n v="257236"/>
    <x v="1"/>
  </r>
  <r>
    <x v="5"/>
    <s v="Learnerships"/>
    <n v="44986"/>
    <n v="38503"/>
    <n v="99496"/>
    <n v="2557"/>
    <n v="91411"/>
    <n v="34107"/>
    <n v="21838"/>
    <n v="52163"/>
    <n v="42891"/>
    <n v="88871"/>
    <n v="83356"/>
    <n v="32016"/>
    <n v="632195"/>
    <n v="385061"/>
    <x v="1"/>
  </r>
  <r>
    <x v="3"/>
    <s v="TAP Business"/>
    <n v="94387"/>
    <n v="50965"/>
    <n v="6492"/>
    <n v="14142"/>
    <n v="25296"/>
    <n v="58072"/>
    <n v="88136"/>
    <n v="42438"/>
    <n v="71393"/>
    <n v="55235"/>
    <n v="78388"/>
    <n v="32938"/>
    <n v="617882"/>
    <n v="379928"/>
    <x v="1"/>
  </r>
  <r>
    <x v="3"/>
    <s v="Learnerships"/>
    <n v="65163"/>
    <n v="10055"/>
    <n v="16779"/>
    <n v="15509"/>
    <n v="99542"/>
    <n v="75868"/>
    <n v="42155"/>
    <n v="81621"/>
    <n v="79595"/>
    <n v="21390"/>
    <n v="21301"/>
    <n v="27469"/>
    <n v="556447"/>
    <n v="406692"/>
    <x v="1"/>
  </r>
  <r>
    <x v="3"/>
    <s v="Compliance Training "/>
    <n v="67033"/>
    <n v="50986"/>
    <n v="59157"/>
    <n v="7787"/>
    <n v="70198"/>
    <n v="8138"/>
    <n v="61036"/>
    <n v="67226"/>
    <n v="80566"/>
    <n v="39117"/>
    <n v="94482"/>
    <n v="16865"/>
    <n v="622591"/>
    <n v="391561"/>
    <x v="1"/>
  </r>
  <r>
    <x v="4"/>
    <s v="Compliance Training "/>
    <n v="19014"/>
    <n v="36298"/>
    <n v="43586"/>
    <n v="48308"/>
    <n v="24928"/>
    <n v="9723"/>
    <n v="44787"/>
    <n v="32107"/>
    <n v="35848"/>
    <n v="19944"/>
    <n v="89699"/>
    <n v="98358"/>
    <n v="502600"/>
    <n v="258751"/>
    <x v="1"/>
  </r>
  <r>
    <x v="7"/>
    <s v="Compliance Training "/>
    <n v="40341"/>
    <n v="3414"/>
    <n v="13423"/>
    <n v="98929"/>
    <n v="45266"/>
    <n v="61131"/>
    <n v="77771"/>
    <n v="89238"/>
    <n v="49076"/>
    <n v="85693"/>
    <n v="45320"/>
    <n v="79905"/>
    <n v="689507"/>
    <n v="429513"/>
    <x v="1"/>
  </r>
  <r>
    <x v="6"/>
    <s v="Learnerships"/>
    <n v="97292"/>
    <n v="49531"/>
    <n v="31992"/>
    <n v="49813"/>
    <n v="83134"/>
    <n v="83398"/>
    <n v="94184"/>
    <n v="94291"/>
    <n v="25244"/>
    <n v="64994"/>
    <n v="44351"/>
    <n v="32665"/>
    <n v="750889"/>
    <n v="583635"/>
    <x v="1"/>
  </r>
  <r>
    <x v="7"/>
    <s v="TAP Business"/>
    <n v="63551"/>
    <n v="353"/>
    <n v="79834"/>
    <n v="72196"/>
    <n v="52773"/>
    <n v="83092"/>
    <n v="4698"/>
    <n v="39714"/>
    <n v="25989"/>
    <n v="18849"/>
    <n v="43982"/>
    <n v="18532"/>
    <n v="503563"/>
    <n v="396211"/>
    <x v="1"/>
  </r>
  <r>
    <x v="5"/>
    <s v="Compliance Training "/>
    <n v="78568"/>
    <n v="6918"/>
    <n v="68421"/>
    <n v="14904"/>
    <n v="54619"/>
    <n v="79637"/>
    <n v="21862"/>
    <n v="33997"/>
    <n v="92472"/>
    <n v="82592"/>
    <n v="68521"/>
    <n v="13082"/>
    <n v="615593"/>
    <n v="358926"/>
    <x v="1"/>
  </r>
  <r>
    <x v="7"/>
    <s v="Learnerships"/>
    <n v="71628"/>
    <n v="72777"/>
    <n v="40370"/>
    <n v="37175"/>
    <n v="31696"/>
    <n v="56035"/>
    <n v="90271"/>
    <n v="79775"/>
    <n v="58232"/>
    <n v="29684"/>
    <n v="54389"/>
    <n v="11931"/>
    <n v="633963"/>
    <n v="479727"/>
    <x v="1"/>
  </r>
  <r>
    <x v="6"/>
    <s v="Compliance Training "/>
    <n v="6117"/>
    <n v="20075"/>
    <n v="49307"/>
    <n v="81131"/>
    <n v="7639"/>
    <n v="36568"/>
    <n v="82818"/>
    <n v="84147"/>
    <n v="16175"/>
    <n v="67557"/>
    <n v="1729"/>
    <n v="95125"/>
    <n v="548388"/>
    <n v="367802"/>
    <x v="1"/>
  </r>
  <r>
    <x v="1"/>
    <s v="Learnerships"/>
    <n v="4962"/>
    <n v="43287"/>
    <n v="39213"/>
    <n v="86493"/>
    <n v="94913"/>
    <n v="65263"/>
    <n v="26375"/>
    <n v="79762"/>
    <n v="20522"/>
    <n v="61022"/>
    <n v="40881"/>
    <n v="75314"/>
    <n v="638007"/>
    <n v="440268"/>
    <x v="1"/>
  </r>
  <r>
    <x v="4"/>
    <s v="Learnerships"/>
    <n v="18977"/>
    <n v="82985"/>
    <n v="736"/>
    <n v="84854"/>
    <n v="83720"/>
    <n v="83428"/>
    <n v="72714"/>
    <n v="68480"/>
    <n v="48704"/>
    <n v="61096"/>
    <n v="56811"/>
    <n v="59550"/>
    <n v="722055"/>
    <n v="495894"/>
    <x v="1"/>
  </r>
  <r>
    <x v="7"/>
    <s v="Other Courses"/>
    <n v="46809"/>
    <n v="15791"/>
    <n v="42852"/>
    <n v="17978"/>
    <n v="47721"/>
    <n v="15551"/>
    <n v="77403"/>
    <n v="52256"/>
    <n v="24939"/>
    <n v="13037"/>
    <n v="69727"/>
    <n v="39365"/>
    <n v="463429"/>
    <n v="316361"/>
    <x v="1"/>
  </r>
  <r>
    <x v="5"/>
    <s v="TAP Business"/>
    <n v="56596"/>
    <n v="70812"/>
    <n v="18500"/>
    <n v="39804"/>
    <n v="40514"/>
    <n v="76487"/>
    <n v="14079"/>
    <n v="29545"/>
    <n v="54200"/>
    <n v="21489"/>
    <n v="69592"/>
    <n v="1152"/>
    <n v="492770"/>
    <n v="346337"/>
    <x v="1"/>
  </r>
  <r>
    <x v="0"/>
    <s v="Other Courses"/>
    <n v="71363"/>
    <n v="94500"/>
    <n v="93379"/>
    <n v="59648"/>
    <n v="7835"/>
    <n v="66973"/>
    <n v="8832"/>
    <n v="61338"/>
    <n v="55052"/>
    <n v="51692"/>
    <n v="66846"/>
    <n v="48873"/>
    <n v="686331"/>
    <n v="463868"/>
    <x v="1"/>
  </r>
  <r>
    <x v="5"/>
    <s v="Other Courses"/>
    <n v="77611"/>
    <n v="51419"/>
    <n v="40868"/>
    <n v="1143"/>
    <n v="64394"/>
    <n v="19084"/>
    <n v="4594"/>
    <n v="28705"/>
    <n v="71930"/>
    <n v="79238"/>
    <n v="63454"/>
    <n v="61534"/>
    <n v="563974"/>
    <n v="287818"/>
    <x v="1"/>
  </r>
  <r>
    <x v="6"/>
    <s v="Other Courses"/>
    <n v="80116"/>
    <n v="11740"/>
    <n v="47807"/>
    <n v="43990"/>
    <n v="77790"/>
    <n v="20704"/>
    <n v="39521"/>
    <n v="10486"/>
    <n v="51166"/>
    <n v="21500"/>
    <n v="61646"/>
    <n v="49427"/>
    <n v="515893"/>
    <n v="332154"/>
    <x v="1"/>
  </r>
  <r>
    <x v="3"/>
    <s v="Learnerships"/>
    <n v="86668"/>
    <n v="53886"/>
    <n v="57958"/>
    <n v="12816"/>
    <n v="16718"/>
    <n v="98539"/>
    <n v="7259"/>
    <n v="17400"/>
    <n v="28281"/>
    <n v="69741"/>
    <n v="85941"/>
    <n v="87535"/>
    <n v="622742"/>
    <n v="351244"/>
    <x v="2"/>
  </r>
  <r>
    <x v="1"/>
    <s v="Learnerships"/>
    <n v="86724"/>
    <n v="19027"/>
    <n v="8960"/>
    <n v="70952"/>
    <n v="96431"/>
    <n v="74451"/>
    <n v="13212"/>
    <n v="79721"/>
    <n v="21558"/>
    <n v="10329"/>
    <n v="38972"/>
    <n v="22230"/>
    <n v="542567"/>
    <n v="449478"/>
    <x v="2"/>
  </r>
  <r>
    <x v="4"/>
    <s v="Learnerships"/>
    <n v="23769"/>
    <n v="11768"/>
    <n v="92636"/>
    <n v="97495"/>
    <n v="62683"/>
    <n v="1110"/>
    <n v="40640"/>
    <n v="7503"/>
    <n v="31313"/>
    <n v="1392"/>
    <n v="15905"/>
    <n v="73944"/>
    <n v="460158"/>
    <n v="337604"/>
    <x v="2"/>
  </r>
  <r>
    <x v="3"/>
    <s v="TAP Business"/>
    <n v="92521"/>
    <n v="89792"/>
    <n v="866"/>
    <n v="33570"/>
    <n v="86750"/>
    <n v="29535"/>
    <n v="9250"/>
    <n v="40344"/>
    <n v="87717"/>
    <n v="19757"/>
    <n v="98512"/>
    <n v="28437"/>
    <n v="617051"/>
    <n v="382628"/>
    <x v="2"/>
  </r>
  <r>
    <x v="3"/>
    <s v="Other Courses"/>
    <n v="96531"/>
    <n v="72509"/>
    <n v="5501"/>
    <n v="44975"/>
    <n v="40336"/>
    <n v="20414"/>
    <n v="76175"/>
    <n v="81807"/>
    <n v="80676"/>
    <n v="80175"/>
    <n v="817"/>
    <n v="91983"/>
    <n v="691899"/>
    <n v="438248"/>
    <x v="2"/>
  </r>
  <r>
    <x v="6"/>
    <s v="Other Courses"/>
    <n v="27071"/>
    <n v="27158"/>
    <n v="81287"/>
    <n v="52572"/>
    <n v="36692"/>
    <n v="64136"/>
    <n v="15661"/>
    <n v="76738"/>
    <n v="72365"/>
    <n v="85212"/>
    <n v="62780"/>
    <n v="40155"/>
    <n v="641827"/>
    <n v="381315"/>
    <x v="2"/>
  </r>
  <r>
    <x v="4"/>
    <s v="Other Courses"/>
    <n v="43699"/>
    <n v="22255"/>
    <n v="36994"/>
    <n v="43847"/>
    <n v="34776"/>
    <n v="49779"/>
    <n v="63079"/>
    <n v="77418"/>
    <n v="25161"/>
    <n v="90840"/>
    <n v="37173"/>
    <n v="84142"/>
    <n v="609163"/>
    <n v="371847"/>
    <x v="2"/>
  </r>
  <r>
    <x v="6"/>
    <s v="TAP Business"/>
    <n v="60573"/>
    <n v="48884"/>
    <n v="3963"/>
    <n v="65576"/>
    <n v="7898"/>
    <n v="40048"/>
    <n v="53819"/>
    <n v="57555"/>
    <n v="93091"/>
    <n v="76652"/>
    <n v="72274"/>
    <n v="79633"/>
    <n v="659966"/>
    <n v="338316"/>
    <x v="2"/>
  </r>
  <r>
    <x v="6"/>
    <s v="Learnerships"/>
    <n v="69159"/>
    <n v="57907"/>
    <n v="39444"/>
    <n v="91246"/>
    <n v="5674"/>
    <n v="10899"/>
    <n v="84163"/>
    <n v="26820"/>
    <n v="50748"/>
    <n v="753"/>
    <n v="22087"/>
    <n v="74365"/>
    <n v="533265"/>
    <n v="385312"/>
    <x v="2"/>
  </r>
  <r>
    <x v="1"/>
    <s v="TAP Business"/>
    <n v="86096"/>
    <n v="63697"/>
    <n v="84931"/>
    <n v="44311"/>
    <n v="94733"/>
    <n v="47522"/>
    <n v="74560"/>
    <n v="86655"/>
    <n v="62365"/>
    <n v="34220"/>
    <n v="18235"/>
    <n v="66265"/>
    <n v="763590"/>
    <n v="582505"/>
    <x v="2"/>
  </r>
  <r>
    <x v="3"/>
    <s v="Compliance Training "/>
    <n v="96146"/>
    <n v="56189"/>
    <n v="96188"/>
    <n v="99668"/>
    <n v="61410"/>
    <n v="27852"/>
    <n v="95420"/>
    <n v="36487"/>
    <n v="37266"/>
    <n v="60747"/>
    <n v="48071"/>
    <n v="70787"/>
    <n v="786231"/>
    <n v="569360"/>
    <x v="2"/>
  </r>
  <r>
    <x v="1"/>
    <s v="Other Courses"/>
    <n v="92181"/>
    <n v="51739"/>
    <n v="74041"/>
    <n v="17878"/>
    <n v="26755"/>
    <n v="99439"/>
    <n v="34118"/>
    <n v="70972"/>
    <n v="52318"/>
    <n v="69160"/>
    <n v="58427"/>
    <n v="47282"/>
    <n v="694310"/>
    <n v="467123"/>
    <x v="2"/>
  </r>
  <r>
    <x v="0"/>
    <s v="Other Courses"/>
    <n v="15830"/>
    <n v="94324"/>
    <n v="90995"/>
    <n v="24432"/>
    <n v="49335"/>
    <n v="92997"/>
    <n v="73489"/>
    <n v="34679"/>
    <n v="4481"/>
    <n v="96535"/>
    <n v="70858"/>
    <n v="82564"/>
    <n v="730519"/>
    <n v="476081"/>
    <x v="2"/>
  </r>
  <r>
    <x v="7"/>
    <s v="TAP Business"/>
    <n v="81395"/>
    <n v="63511"/>
    <n v="35782"/>
    <n v="14977"/>
    <n v="14577"/>
    <n v="19406"/>
    <n v="85474"/>
    <n v="37207"/>
    <n v="24731"/>
    <n v="27598"/>
    <n v="31697"/>
    <n v="90187"/>
    <n v="526542"/>
    <n v="352329"/>
    <x v="2"/>
  </r>
  <r>
    <x v="5"/>
    <s v="Compliance Training "/>
    <n v="55886"/>
    <n v="65682"/>
    <n v="88480"/>
    <n v="51949"/>
    <n v="36557"/>
    <n v="95036"/>
    <n v="62277"/>
    <n v="74035"/>
    <n v="82677"/>
    <n v="86239"/>
    <n v="83272"/>
    <n v="27614"/>
    <n v="809704"/>
    <n v="529902"/>
    <x v="2"/>
  </r>
  <r>
    <x v="7"/>
    <s v="Other Courses"/>
    <n v="96780"/>
    <n v="47611"/>
    <n v="26394"/>
    <n v="92710"/>
    <n v="69314"/>
    <n v="2665"/>
    <n v="20555"/>
    <n v="27650"/>
    <n v="51208"/>
    <n v="23720"/>
    <n v="59805"/>
    <n v="47735"/>
    <n v="566147"/>
    <n v="383679"/>
    <x v="2"/>
  </r>
  <r>
    <x v="0"/>
    <s v="Learnerships"/>
    <n v="12779"/>
    <n v="28565"/>
    <n v="78161"/>
    <n v="9511"/>
    <n v="85293"/>
    <n v="46381"/>
    <n v="49942"/>
    <n v="77621"/>
    <n v="80514"/>
    <n v="55369"/>
    <n v="46291"/>
    <n v="70938"/>
    <n v="641365"/>
    <n v="388253"/>
    <x v="2"/>
  </r>
  <r>
    <x v="5"/>
    <s v="Learnerships"/>
    <n v="59811"/>
    <n v="3822"/>
    <n v="45852"/>
    <n v="56155"/>
    <n v="40105"/>
    <n v="94510"/>
    <n v="37436"/>
    <n v="6454"/>
    <n v="66173"/>
    <n v="76586"/>
    <n v="8260"/>
    <n v="57849"/>
    <n v="553013"/>
    <n v="344145"/>
    <x v="2"/>
  </r>
  <r>
    <x v="7"/>
    <s v="Learnerships"/>
    <n v="75305"/>
    <n v="25901"/>
    <n v="37148"/>
    <n v="44242"/>
    <n v="31913"/>
    <n v="58046"/>
    <n v="58505"/>
    <n v="67684"/>
    <n v="95203"/>
    <n v="55269"/>
    <n v="44741"/>
    <n v="56562"/>
    <n v="650519"/>
    <n v="398744"/>
    <x v="2"/>
  </r>
  <r>
    <x v="1"/>
    <s v="Compliance Training "/>
    <n v="94912"/>
    <n v="3458"/>
    <n v="27891"/>
    <n v="71596"/>
    <n v="98590"/>
    <n v="52932"/>
    <n v="65113"/>
    <n v="8283"/>
    <n v="84304"/>
    <n v="44235"/>
    <n v="4626"/>
    <n v="5224"/>
    <n v="561164"/>
    <n v="422775"/>
    <x v="2"/>
  </r>
  <r>
    <x v="0"/>
    <s v="Compliance Training "/>
    <n v="10548"/>
    <n v="98675"/>
    <n v="11212"/>
    <n v="35871"/>
    <n v="9031"/>
    <n v="35449"/>
    <n v="58462"/>
    <n v="35353"/>
    <n v="51659"/>
    <n v="74751"/>
    <n v="49543"/>
    <n v="56369"/>
    <n v="526923"/>
    <n v="294601"/>
    <x v="2"/>
  </r>
  <r>
    <x v="7"/>
    <s v="Compliance Training "/>
    <n v="42901"/>
    <n v="86435"/>
    <n v="45563"/>
    <n v="13008"/>
    <n v="81542"/>
    <n v="13849"/>
    <n v="57636"/>
    <n v="88787"/>
    <n v="32657"/>
    <n v="42028"/>
    <n v="47391"/>
    <n v="72811"/>
    <n v="624608"/>
    <n v="429721"/>
    <x v="2"/>
  </r>
  <r>
    <x v="4"/>
    <s v="TAP Business"/>
    <n v="9450"/>
    <n v="59454"/>
    <n v="54845"/>
    <n v="73820"/>
    <n v="89599"/>
    <n v="36020"/>
    <n v="89974"/>
    <n v="26181"/>
    <n v="95649"/>
    <n v="52412"/>
    <n v="98624"/>
    <n v="31152"/>
    <n v="717180"/>
    <n v="439343"/>
    <x v="2"/>
  </r>
  <r>
    <x v="5"/>
    <s v="Other Courses"/>
    <n v="63322"/>
    <n v="13448"/>
    <n v="33946"/>
    <n v="12356"/>
    <n v="58189"/>
    <n v="88468"/>
    <n v="29765"/>
    <n v="26505"/>
    <n v="97550"/>
    <n v="46965"/>
    <n v="24391"/>
    <n v="28630"/>
    <n v="523535"/>
    <n v="325999"/>
    <x v="2"/>
  </r>
  <r>
    <x v="0"/>
    <s v="TAP Business"/>
    <n v="91091"/>
    <n v="99838"/>
    <n v="34346"/>
    <n v="19515"/>
    <n v="97606"/>
    <n v="82657"/>
    <n v="96376"/>
    <n v="74631"/>
    <n v="54069"/>
    <n v="30991"/>
    <n v="62502"/>
    <n v="94446"/>
    <n v="838068"/>
    <n v="596060"/>
    <x v="2"/>
  </r>
  <r>
    <x v="5"/>
    <s v="TAP Business"/>
    <n v="82570"/>
    <n v="14786"/>
    <n v="10089"/>
    <n v="15911"/>
    <n v="19198"/>
    <n v="90447"/>
    <n v="53488"/>
    <n v="99695"/>
    <n v="27314"/>
    <n v="2403"/>
    <n v="17670"/>
    <n v="33926"/>
    <n v="467497"/>
    <n v="386184"/>
    <x v="2"/>
  </r>
  <r>
    <x v="3"/>
    <s v="TAP Business"/>
    <n v="95335"/>
    <n v="59275"/>
    <n v="63754"/>
    <n v="14098"/>
    <n v="18390"/>
    <n v="108393"/>
    <n v="7985"/>
    <n v="19140"/>
    <n v="31109"/>
    <n v="76715"/>
    <n v="94535"/>
    <n v="96289"/>
    <n v="685018"/>
    <n v="386370"/>
    <x v="3"/>
  </r>
  <r>
    <x v="6"/>
    <s v="Other Courses"/>
    <n v="95396"/>
    <n v="20930"/>
    <n v="9856"/>
    <n v="78047"/>
    <n v="106074"/>
    <n v="81896"/>
    <n v="14533"/>
    <n v="87693"/>
    <n v="23714"/>
    <n v="11362"/>
    <n v="42869"/>
    <n v="24453"/>
    <n v="596823"/>
    <n v="494425"/>
    <x v="3"/>
  </r>
  <r>
    <x v="8"/>
    <s v="Other Courses"/>
    <n v="26146"/>
    <n v="12945"/>
    <n v="101900"/>
    <n v="107245"/>
    <n v="68951"/>
    <n v="1221"/>
    <n v="44704"/>
    <n v="8253"/>
    <n v="34444"/>
    <n v="1531"/>
    <n v="17496"/>
    <n v="81338"/>
    <n v="506174"/>
    <n v="371365"/>
    <x v="3"/>
  </r>
  <r>
    <x v="9"/>
    <s v="Other Courses"/>
    <n v="80188"/>
    <n v="75123"/>
    <n v="107225"/>
    <n v="14727"/>
    <n v="23936"/>
    <n v="13361"/>
    <n v="20875"/>
    <n v="93944"/>
    <n v="55759"/>
    <n v="77022"/>
    <n v="14416"/>
    <n v="85281"/>
    <n v="661857"/>
    <n v="429379"/>
    <x v="3"/>
  </r>
  <r>
    <x v="7"/>
    <s v="TAP Business"/>
    <n v="101773"/>
    <n v="98771"/>
    <n v="953"/>
    <n v="36927"/>
    <n v="95425"/>
    <n v="32489"/>
    <n v="10175"/>
    <n v="44378"/>
    <n v="96489"/>
    <n v="21733"/>
    <n v="108363"/>
    <n v="31281"/>
    <n v="678757"/>
    <n v="420891"/>
    <x v="3"/>
  </r>
  <r>
    <x v="3"/>
    <s v="Compliance Training "/>
    <n v="10600"/>
    <n v="22290"/>
    <n v="77574"/>
    <n v="13127"/>
    <n v="48337"/>
    <n v="53851"/>
    <n v="24176"/>
    <n v="60474"/>
    <n v="40229"/>
    <n v="104092"/>
    <n v="12170"/>
    <n v="36185"/>
    <n v="503105"/>
    <n v="310429"/>
    <x v="3"/>
  </r>
  <r>
    <x v="1"/>
    <s v="Compliance Training "/>
    <n v="29778"/>
    <n v="29874"/>
    <n v="89416"/>
    <n v="57829"/>
    <n v="40361"/>
    <n v="70550"/>
    <n v="17227"/>
    <n v="84412"/>
    <n v="79602"/>
    <n v="93733"/>
    <n v="69058"/>
    <n v="44171"/>
    <n v="706011"/>
    <n v="419447"/>
    <x v="3"/>
  </r>
  <r>
    <x v="1"/>
    <s v="Other Courses"/>
    <n v="48069"/>
    <n v="24481"/>
    <n v="40693"/>
    <n v="48232"/>
    <n v="38254"/>
    <n v="54757"/>
    <n v="69387"/>
    <n v="85160"/>
    <n v="27677"/>
    <n v="99924"/>
    <n v="40890"/>
    <n v="92556"/>
    <n v="670080"/>
    <n v="409033"/>
    <x v="3"/>
  </r>
  <r>
    <x v="5"/>
    <s v="Other Courses"/>
    <n v="66630"/>
    <n v="53772"/>
    <n v="4359"/>
    <n v="72134"/>
    <n v="8688"/>
    <n v="44053"/>
    <n v="59201"/>
    <n v="63311"/>
    <n v="102400"/>
    <n v="84317"/>
    <n v="79501"/>
    <n v="87596"/>
    <n v="725962"/>
    <n v="372148"/>
    <x v="3"/>
  </r>
  <r>
    <x v="10"/>
    <s v="Compliance Training "/>
    <n v="76075"/>
    <n v="63698"/>
    <n v="43388"/>
    <n v="100371"/>
    <n v="6241"/>
    <n v="11989"/>
    <n v="92579"/>
    <n v="29502"/>
    <n v="55823"/>
    <n v="828"/>
    <n v="24296"/>
    <n v="81802"/>
    <n v="586592"/>
    <n v="423843"/>
    <x v="3"/>
  </r>
  <r>
    <x v="9"/>
    <s v="TAP Business"/>
    <n v="108637"/>
    <n v="19549"/>
    <n v="72415"/>
    <n v="75473"/>
    <n v="39613"/>
    <n v="17974"/>
    <n v="107731"/>
    <n v="13574"/>
    <n v="29102"/>
    <n v="54981"/>
    <n v="107830"/>
    <n v="63026"/>
    <n v="709905"/>
    <n v="454966"/>
    <x v="3"/>
  </r>
  <r>
    <x v="5"/>
    <s v="Learnerships"/>
    <n v="105761"/>
    <n v="61808"/>
    <n v="105807"/>
    <n v="109635"/>
    <n v="67551"/>
    <n v="30637"/>
    <n v="104962"/>
    <n v="40136"/>
    <n v="40993"/>
    <n v="66822"/>
    <n v="52878"/>
    <n v="77866"/>
    <n v="864856"/>
    <n v="626297"/>
    <x v="3"/>
  </r>
  <r>
    <x v="7"/>
    <s v="Compliance Training "/>
    <n v="101399"/>
    <n v="56913"/>
    <n v="81445"/>
    <n v="19666"/>
    <n v="29431"/>
    <n v="109383"/>
    <n v="37530"/>
    <n v="78069"/>
    <n v="57550"/>
    <n v="76076"/>
    <n v="64270"/>
    <n v="52010"/>
    <n v="763742"/>
    <n v="513836"/>
    <x v="3"/>
  </r>
  <r>
    <x v="4"/>
    <s v="TAP Business"/>
    <n v="23711"/>
    <n v="2904"/>
    <n v="65133"/>
    <n v="6280"/>
    <n v="67439"/>
    <n v="76487"/>
    <n v="69174"/>
    <n v="57486"/>
    <n v="22333"/>
    <n v="66880"/>
    <n v="286"/>
    <n v="93921"/>
    <n v="552034"/>
    <n v="368614"/>
    <x v="3"/>
  </r>
  <r>
    <x v="8"/>
    <s v="TAP Business"/>
    <n v="17413"/>
    <n v="103756"/>
    <n v="100095"/>
    <n v="26875"/>
    <n v="54269"/>
    <n v="102297"/>
    <n v="80838"/>
    <n v="38147"/>
    <n v="4929"/>
    <n v="106189"/>
    <n v="77944"/>
    <n v="90820"/>
    <n v="803572"/>
    <n v="523690"/>
    <x v="3"/>
  </r>
  <r>
    <x v="3"/>
    <s v="Other Courses"/>
    <n v="107866"/>
    <n v="50349"/>
    <n v="39840"/>
    <n v="8875"/>
    <n v="85279"/>
    <n v="41139"/>
    <n v="23642"/>
    <n v="64065"/>
    <n v="56022"/>
    <n v="37393"/>
    <n v="55275"/>
    <n v="27140"/>
    <n v="596885"/>
    <n v="421055"/>
    <x v="3"/>
  </r>
  <r>
    <x v="6"/>
    <s v="TAP Business"/>
    <n v="61475"/>
    <n v="72250"/>
    <n v="97328"/>
    <n v="57144"/>
    <n v="40213"/>
    <n v="104540"/>
    <n v="68505"/>
    <n v="81439"/>
    <n v="90945"/>
    <n v="94863"/>
    <n v="91599"/>
    <n v="30375"/>
    <n v="890676"/>
    <n v="582894"/>
    <x v="3"/>
  </r>
  <r>
    <x v="5"/>
    <s v="TAP Business"/>
    <n v="26399"/>
    <n v="95240"/>
    <n v="56866"/>
    <n v="37712"/>
    <n v="83071"/>
    <n v="84260"/>
    <n v="13240"/>
    <n v="86232"/>
    <n v="51152"/>
    <n v="79890"/>
    <n v="22794"/>
    <n v="43446"/>
    <n v="680302"/>
    <n v="483020"/>
    <x v="3"/>
  </r>
  <r>
    <x v="4"/>
    <s v="Compliance Training "/>
    <n v="106458"/>
    <n v="52372"/>
    <n v="29033"/>
    <n v="101981"/>
    <n v="76245"/>
    <n v="2932"/>
    <n v="22611"/>
    <n v="30415"/>
    <n v="56329"/>
    <n v="26092"/>
    <n v="65786"/>
    <n v="52509"/>
    <n v="622763"/>
    <n v="422047"/>
    <x v="3"/>
  </r>
  <r>
    <x v="7"/>
    <s v="Learnerships"/>
    <n v="65792"/>
    <n v="4204"/>
    <n v="50437"/>
    <n v="61771"/>
    <n v="44116"/>
    <n v="103961"/>
    <n v="41180"/>
    <n v="7099"/>
    <n v="72790"/>
    <n v="84245"/>
    <n v="9086"/>
    <n v="63634"/>
    <n v="608315"/>
    <n v="378560"/>
    <x v="3"/>
  </r>
  <r>
    <x v="4"/>
    <s v="Other Courses"/>
    <n v="32446"/>
    <n v="71644"/>
    <n v="57880"/>
    <n v="55983"/>
    <n v="102753"/>
    <n v="29048"/>
    <n v="97180"/>
    <n v="47557"/>
    <n v="97087"/>
    <n v="51491"/>
    <n v="37465"/>
    <n v="35239"/>
    <n v="715773"/>
    <n v="494491"/>
    <x v="3"/>
  </r>
  <r>
    <x v="10"/>
    <s v="Other Courses"/>
    <n v="28580"/>
    <n v="63121"/>
    <n v="95328"/>
    <n v="42126"/>
    <n v="42569"/>
    <n v="6014"/>
    <n v="69333"/>
    <n v="69077"/>
    <n v="98266"/>
    <n v="10174"/>
    <n v="20419"/>
    <n v="91909"/>
    <n v="636916"/>
    <n v="416148"/>
    <x v="3"/>
  </r>
  <r>
    <x v="9"/>
    <s v="Compliance Training "/>
    <n v="44015"/>
    <n v="10077"/>
    <n v="21679"/>
    <n v="30138"/>
    <n v="13961"/>
    <n v="109770"/>
    <n v="11837"/>
    <n v="62710"/>
    <n v="22255"/>
    <n v="82295"/>
    <n v="16434"/>
    <n v="43335"/>
    <n v="468506"/>
    <n v="304187"/>
    <x v="3"/>
  </r>
  <r>
    <x v="0"/>
    <s v="Learnerships"/>
    <n v="19949"/>
    <n v="68584"/>
    <n v="38992"/>
    <n v="107535"/>
    <n v="61268"/>
    <n v="67351"/>
    <n v="40934"/>
    <n v="104047"/>
    <n v="35389"/>
    <n v="108857"/>
    <n v="59304"/>
    <n v="1744"/>
    <n v="713954"/>
    <n v="508660"/>
    <x v="3"/>
  </r>
  <r>
    <x v="6"/>
    <s v="Learnerships"/>
    <n v="63829"/>
    <n v="4899"/>
    <n v="40943"/>
    <n v="16905"/>
    <n v="74623"/>
    <n v="103949"/>
    <n v="68880"/>
    <n v="56473"/>
    <n v="94994"/>
    <n v="100223"/>
    <n v="55679"/>
    <n v="105566"/>
    <n v="786963"/>
    <n v="430501"/>
    <x v="3"/>
  </r>
  <r>
    <x v="0"/>
    <s v="TAP Business"/>
    <n v="104403"/>
    <n v="3804"/>
    <n v="30680"/>
    <n v="78756"/>
    <n v="108449"/>
    <n v="58225"/>
    <n v="71624"/>
    <n v="9111"/>
    <n v="92734"/>
    <n v="48659"/>
    <n v="5089"/>
    <n v="5746"/>
    <n v="617280"/>
    <n v="465052"/>
    <x v="3"/>
  </r>
  <r>
    <x v="5"/>
    <s v="Compliance Training "/>
    <n v="62902"/>
    <n v="38288"/>
    <n v="1088"/>
    <n v="106333"/>
    <n v="37761"/>
    <n v="74687"/>
    <n v="28501"/>
    <n v="16070"/>
    <n v="79165"/>
    <n v="75226"/>
    <n v="71354"/>
    <n v="60360"/>
    <n v="651735"/>
    <n v="365630"/>
    <x v="3"/>
  </r>
  <r>
    <x v="8"/>
    <s v="Learnerships"/>
    <n v="11603"/>
    <n v="108543"/>
    <n v="12333"/>
    <n v="39458"/>
    <n v="9934"/>
    <n v="38994"/>
    <n v="64308"/>
    <n v="38888"/>
    <n v="56825"/>
    <n v="82226"/>
    <n v="54497"/>
    <n v="62006"/>
    <n v="579615"/>
    <n v="324061"/>
    <x v="3"/>
  </r>
  <r>
    <x v="10"/>
    <s v="Learnerships"/>
    <n v="47191"/>
    <n v="95079"/>
    <n v="50119"/>
    <n v="14309"/>
    <n v="89696"/>
    <n v="15234"/>
    <n v="63400"/>
    <n v="97666"/>
    <n v="35923"/>
    <n v="46231"/>
    <n v="52130"/>
    <n v="80092"/>
    <n v="687070"/>
    <n v="472694"/>
    <x v="3"/>
  </r>
  <r>
    <x v="1"/>
    <s v="TAP Business"/>
    <n v="35993"/>
    <n v="16013"/>
    <n v="55327"/>
    <n v="75242"/>
    <n v="92091"/>
    <n v="64011"/>
    <n v="54823"/>
    <n v="97682"/>
    <n v="93113"/>
    <n v="54075"/>
    <n v="47845"/>
    <n v="94145"/>
    <n v="780360"/>
    <n v="491182"/>
    <x v="3"/>
  </r>
  <r>
    <x v="0"/>
    <s v="Other Courses"/>
    <n v="108242"/>
    <n v="18702"/>
    <n v="90433"/>
    <n v="11944"/>
    <n v="26576"/>
    <n v="54300"/>
    <n v="5843"/>
    <n v="47869"/>
    <n v="72408"/>
    <n v="97165"/>
    <n v="11900"/>
    <n v="86169"/>
    <n v="631551"/>
    <n v="363909"/>
    <x v="3"/>
  </r>
  <r>
    <x v="3"/>
    <s v="Learnerships"/>
    <n v="45396"/>
    <n v="9649"/>
    <n v="26869"/>
    <n v="2185"/>
    <n v="80230"/>
    <n v="42199"/>
    <n v="101905"/>
    <n v="68339"/>
    <n v="18275"/>
    <n v="11451"/>
    <n v="72337"/>
    <n v="9279"/>
    <n v="488114"/>
    <n v="376772"/>
    <x v="3"/>
  </r>
  <r>
    <x v="10"/>
    <s v="TAP Business"/>
    <n v="82031"/>
    <n v="34608"/>
    <n v="34803"/>
    <n v="104225"/>
    <n v="72829"/>
    <n v="93858"/>
    <n v="67739"/>
    <n v="54185"/>
    <n v="104205"/>
    <n v="35542"/>
    <n v="40823"/>
    <n v="55705"/>
    <n v="780553"/>
    <n v="544278"/>
    <x v="3"/>
  </r>
  <r>
    <x v="0"/>
    <s v="Compliance Training "/>
    <n v="61512"/>
    <n v="104284"/>
    <n v="79891"/>
    <n v="28420"/>
    <n v="46935"/>
    <n v="54735"/>
    <n v="45377"/>
    <n v="13706"/>
    <n v="47986"/>
    <n v="82379"/>
    <n v="76160"/>
    <n v="6395"/>
    <n v="647780"/>
    <n v="434860"/>
    <x v="3"/>
  </r>
  <r>
    <x v="1"/>
    <s v="Learnerships"/>
    <n v="98068"/>
    <n v="11699"/>
    <n v="59"/>
    <n v="18395"/>
    <n v="50890"/>
    <n v="103840"/>
    <n v="94305"/>
    <n v="20213"/>
    <n v="48696"/>
    <n v="97670"/>
    <n v="90250"/>
    <n v="1509"/>
    <n v="635594"/>
    <n v="397469"/>
    <x v="3"/>
  </r>
  <r>
    <x v="4"/>
    <s v="Learnerships"/>
    <n v="82385"/>
    <n v="62663"/>
    <n v="24740"/>
    <n v="26044"/>
    <n v="61431"/>
    <n v="106302"/>
    <n v="69182"/>
    <n v="51736"/>
    <n v="13237"/>
    <n v="48709"/>
    <n v="8823"/>
    <n v="69353"/>
    <n v="624605"/>
    <n v="484483"/>
    <x v="3"/>
  </r>
  <r>
    <x v="8"/>
    <s v="Compliance Training "/>
    <n v="53904"/>
    <n v="102656"/>
    <n v="52000"/>
    <n v="65845"/>
    <n v="73588"/>
    <n v="38499"/>
    <n v="36427"/>
    <n v="63113"/>
    <n v="27616"/>
    <n v="98955"/>
    <n v="60655"/>
    <n v="87194"/>
    <n v="760452"/>
    <n v="486032"/>
    <x v="3"/>
  </r>
  <r>
    <x v="9"/>
    <s v="Learnerships"/>
    <n v="103233"/>
    <n v="66779"/>
    <n v="94153"/>
    <n v="41720"/>
    <n v="4624"/>
    <n v="101849"/>
    <n v="49943"/>
    <n v="14136"/>
    <n v="72456"/>
    <n v="66296"/>
    <n v="79523"/>
    <n v="1477"/>
    <n v="696189"/>
    <n v="476437"/>
    <x v="3"/>
  </r>
  <r>
    <x v="0"/>
    <s v="Learnerships"/>
    <n v="85576"/>
    <n v="83179"/>
    <n v="43987"/>
    <n v="46761"/>
    <n v="18441"/>
    <n v="84378"/>
    <n v="35852"/>
    <n v="36721"/>
    <n v="89058"/>
    <n v="399"/>
    <n v="47572"/>
    <n v="0"/>
    <n v="571924"/>
    <n v="434895"/>
    <x v="4"/>
  </r>
  <r>
    <x v="4"/>
    <s v="Other Courses"/>
    <n v="62103"/>
    <n v="22434"/>
    <n v="43703"/>
    <n v="80641"/>
    <n v="24230"/>
    <n v="18096"/>
    <n v="28022"/>
    <n v="97357"/>
    <n v="79984"/>
    <n v="31792"/>
    <n v="49187"/>
    <n v="0"/>
    <n v="537549"/>
    <n v="376586"/>
    <x v="4"/>
  </r>
  <r>
    <x v="3"/>
    <s v="Other Courses"/>
    <n v="12790"/>
    <n v="17079"/>
    <n v="37030"/>
    <n v="95657"/>
    <n v="59141"/>
    <n v="37526"/>
    <n v="26964"/>
    <n v="19321"/>
    <n v="17404"/>
    <n v="69521"/>
    <n v="46793"/>
    <n v="0"/>
    <n v="439226"/>
    <n v="305508"/>
    <x v="4"/>
  </r>
  <r>
    <x v="1"/>
    <s v="Compliance Training "/>
    <n v="62697"/>
    <n v="6087"/>
    <n v="17642"/>
    <n v="78030"/>
    <n v="66430"/>
    <n v="97798"/>
    <n v="39314"/>
    <n v="35120"/>
    <n v="69732"/>
    <n v="34919"/>
    <n v="25771"/>
    <n v="0"/>
    <n v="533540"/>
    <n v="403118"/>
    <x v="4"/>
  </r>
  <r>
    <x v="6"/>
    <s v="TAP Business"/>
    <n v="40534"/>
    <n v="25371"/>
    <n v="63307"/>
    <n v="70284"/>
    <n v="14580"/>
    <n v="61248"/>
    <n v="4731"/>
    <n v="5744"/>
    <n v="23965"/>
    <n v="45809"/>
    <n v="65650"/>
    <n v="0"/>
    <n v="421223"/>
    <n v="285799"/>
    <x v="4"/>
  </r>
  <r>
    <x v="1"/>
    <s v="Other Courses"/>
    <n v="2040"/>
    <n v="49460"/>
    <n v="27820"/>
    <n v="30561"/>
    <n v="57945"/>
    <n v="50720"/>
    <n v="65968"/>
    <n v="26689"/>
    <n v="4529"/>
    <n v="47092"/>
    <n v="3416"/>
    <n v="0"/>
    <n v="366240"/>
    <n v="311203"/>
    <x v="4"/>
  </r>
  <r>
    <x v="4"/>
    <s v="TAP Business"/>
    <n v="75184"/>
    <n v="78447"/>
    <n v="55200"/>
    <n v="14112"/>
    <n v="83472"/>
    <n v="27065"/>
    <n v="27958"/>
    <n v="98188"/>
    <n v="36046"/>
    <n v="76443"/>
    <n v="88170"/>
    <n v="0"/>
    <n v="660285"/>
    <n v="459626"/>
    <x v="4"/>
  </r>
  <r>
    <x v="0"/>
    <s v="Compliance Training "/>
    <n v="24512"/>
    <n v="47551"/>
    <n v="12787"/>
    <n v="51267"/>
    <n v="15518"/>
    <n v="48335"/>
    <n v="74564"/>
    <n v="93865"/>
    <n v="84120"/>
    <n v="29609"/>
    <n v="35836"/>
    <n v="0"/>
    <n v="517964"/>
    <n v="368399"/>
    <x v="4"/>
  </r>
  <r>
    <x v="1"/>
    <s v="TAP Business"/>
    <n v="2166"/>
    <n v="61813"/>
    <n v="48075"/>
    <n v="59678"/>
    <n v="79746"/>
    <n v="34915"/>
    <n v="20624"/>
    <n v="87149"/>
    <n v="21793"/>
    <n v="71435"/>
    <n v="17258"/>
    <n v="0"/>
    <n v="504652"/>
    <n v="394166"/>
    <x v="4"/>
  </r>
  <r>
    <x v="5"/>
    <s v="Learnerships"/>
    <n v="23732"/>
    <n v="89035"/>
    <n v="69362"/>
    <n v="94433"/>
    <n v="28942"/>
    <n v="62043"/>
    <n v="35597"/>
    <n v="54787"/>
    <n v="18837"/>
    <n v="65020"/>
    <n v="87738"/>
    <n v="0"/>
    <n v="629526"/>
    <n v="457931"/>
    <x v="4"/>
  </r>
  <r>
    <x v="3"/>
    <s v="TAP Business"/>
    <n v="66156"/>
    <n v="85686"/>
    <n v="58799"/>
    <n v="49513"/>
    <n v="45704"/>
    <n v="32649"/>
    <n v="72168"/>
    <n v="20873"/>
    <n v="3943"/>
    <n v="44577"/>
    <n v="38102"/>
    <n v="0"/>
    <n v="518170"/>
    <n v="431548"/>
    <x v="4"/>
  </r>
  <r>
    <x v="3"/>
    <s v="Learnerships"/>
    <n v="83650"/>
    <n v="60342"/>
    <n v="2990"/>
    <n v="73325"/>
    <n v="48420"/>
    <n v="1716"/>
    <n v="45910"/>
    <n v="17938"/>
    <n v="94153"/>
    <n v="6773"/>
    <n v="98630"/>
    <n v="0"/>
    <n v="533847"/>
    <n v="334291"/>
    <x v="4"/>
  </r>
  <r>
    <x v="3"/>
    <s v="Compliance Training "/>
    <n v="82503"/>
    <n v="64453"/>
    <n v="62780"/>
    <n v="28908"/>
    <n v="68440"/>
    <n v="85911"/>
    <n v="74317"/>
    <n v="78292"/>
    <n v="78557"/>
    <n v="19044"/>
    <n v="44622"/>
    <n v="0"/>
    <n v="687827"/>
    <n v="545604"/>
    <x v="4"/>
  </r>
  <r>
    <x v="4"/>
    <s v="Compliance Training "/>
    <n v="94145"/>
    <n v="70751"/>
    <n v="11129"/>
    <n v="25587"/>
    <n v="79279"/>
    <n v="87447"/>
    <n v="78043"/>
    <n v="40809"/>
    <n v="27924"/>
    <n v="94122"/>
    <n v="26390"/>
    <n v="0"/>
    <n v="635626"/>
    <n v="487190"/>
    <x v="4"/>
  </r>
  <r>
    <x v="7"/>
    <s v="Compliance Training "/>
    <n v="54992"/>
    <n v="92572"/>
    <n v="97244"/>
    <n v="97088"/>
    <n v="62375"/>
    <n v="76426"/>
    <n v="49785"/>
    <n v="85213"/>
    <n v="84707"/>
    <n v="79214"/>
    <n v="81882"/>
    <n v="0"/>
    <n v="861498"/>
    <n v="615695"/>
    <x v="4"/>
  </r>
  <r>
    <x v="6"/>
    <s v="Learnerships"/>
    <n v="15553"/>
    <n v="77087"/>
    <n v="55754"/>
    <n v="78635"/>
    <n v="72966"/>
    <n v="52762"/>
    <n v="80708"/>
    <n v="66611"/>
    <n v="67449"/>
    <n v="19783"/>
    <n v="76063"/>
    <n v="0"/>
    <n v="663371"/>
    <n v="500076"/>
    <x v="4"/>
  </r>
  <r>
    <x v="7"/>
    <s v="TAP Business"/>
    <n v="58302"/>
    <n v="79212"/>
    <n v="76248"/>
    <n v="84868"/>
    <n v="50831"/>
    <n v="81194"/>
    <n v="89016"/>
    <n v="36924"/>
    <n v="5047"/>
    <n v="4413"/>
    <n v="16158"/>
    <n v="0"/>
    <n v="582213"/>
    <n v="556595"/>
    <x v="4"/>
  </r>
  <r>
    <x v="5"/>
    <s v="Compliance Training "/>
    <n v="69705"/>
    <n v="71101"/>
    <n v="57636"/>
    <n v="46098"/>
    <n v="23030"/>
    <n v="75146"/>
    <n v="55720"/>
    <n v="46455"/>
    <n v="19681"/>
    <n v="1409"/>
    <n v="2221"/>
    <n v="0"/>
    <n v="468202"/>
    <n v="444891"/>
    <x v="4"/>
  </r>
  <r>
    <x v="7"/>
    <s v="Learnerships"/>
    <n v="37289"/>
    <n v="9903"/>
    <n v="37181"/>
    <n v="17306"/>
    <n v="83896"/>
    <n v="59878"/>
    <n v="48868"/>
    <n v="74897"/>
    <n v="43181"/>
    <n v="6309"/>
    <n v="51457"/>
    <n v="0"/>
    <n v="470165"/>
    <n v="369218"/>
    <x v="4"/>
  </r>
  <r>
    <x v="6"/>
    <s v="Compliance Training "/>
    <n v="23763"/>
    <n v="54119"/>
    <n v="27191"/>
    <n v="6364"/>
    <n v="46632"/>
    <n v="59820"/>
    <n v="16223"/>
    <n v="26059"/>
    <n v="97454"/>
    <n v="41677"/>
    <n v="91579"/>
    <n v="0"/>
    <n v="490881"/>
    <n v="260171"/>
    <x v="4"/>
  </r>
  <r>
    <x v="1"/>
    <s v="Learnerships"/>
    <n v="91833"/>
    <n v="83620"/>
    <n v="57417"/>
    <n v="2093"/>
    <n v="20577"/>
    <n v="73526"/>
    <n v="60807"/>
    <n v="43825"/>
    <n v="87396"/>
    <n v="86701"/>
    <n v="72414"/>
    <n v="0"/>
    <n v="680209"/>
    <n v="433698"/>
    <x v="4"/>
  </r>
  <r>
    <x v="4"/>
    <s v="Learnerships"/>
    <n v="95436"/>
    <n v="16433"/>
    <n v="80340"/>
    <n v="36507"/>
    <n v="51988"/>
    <n v="45197"/>
    <n v="43348"/>
    <n v="28761"/>
    <n v="98364"/>
    <n v="89709"/>
    <n v="13877"/>
    <n v="0"/>
    <n v="599960"/>
    <n v="398010"/>
    <x v="4"/>
  </r>
  <r>
    <x v="7"/>
    <s v="Other Courses"/>
    <n v="69819"/>
    <n v="64235"/>
    <n v="86152"/>
    <n v="35349"/>
    <n v="41832"/>
    <n v="78559"/>
    <n v="58599"/>
    <n v="14934"/>
    <n v="46329"/>
    <n v="68003"/>
    <n v="14469"/>
    <n v="0"/>
    <n v="578280"/>
    <n v="449479"/>
    <x v="4"/>
  </r>
  <r>
    <x v="5"/>
    <s v="TAP Business"/>
    <n v="59020"/>
    <n v="21786"/>
    <n v="16695"/>
    <n v="99301"/>
    <n v="36685"/>
    <n v="99807"/>
    <n v="22467"/>
    <n v="81323"/>
    <n v="12586"/>
    <n v="517"/>
    <n v="5895"/>
    <n v="0"/>
    <n v="456082"/>
    <n v="437084"/>
    <x v="4"/>
  </r>
  <r>
    <x v="0"/>
    <s v="Other Courses"/>
    <n v="10189"/>
    <n v="55760"/>
    <n v="41863"/>
    <n v="62878"/>
    <n v="82935"/>
    <n v="96556"/>
    <n v="53991"/>
    <n v="52087"/>
    <n v="72744"/>
    <n v="75907"/>
    <n v="77089"/>
    <n v="0"/>
    <n v="681999"/>
    <n v="456259"/>
    <x v="4"/>
  </r>
  <r>
    <x v="5"/>
    <s v="Other Courses"/>
    <n v="93362"/>
    <n v="49744"/>
    <n v="2467"/>
    <n v="70069"/>
    <n v="13902"/>
    <n v="70579"/>
    <n v="48853"/>
    <n v="54099"/>
    <n v="26555"/>
    <n v="56277"/>
    <n v="36654"/>
    <n v="0"/>
    <n v="522561"/>
    <n v="403075"/>
    <x v="4"/>
  </r>
  <r>
    <x v="6"/>
    <s v="Other Courses"/>
    <n v="44290"/>
    <n v="48498"/>
    <n v="24444"/>
    <n v="73072"/>
    <n v="65642"/>
    <n v="57768"/>
    <n v="94158"/>
    <n v="46250"/>
    <n v="49466"/>
    <n v="25549"/>
    <n v="79042"/>
    <n v="0"/>
    <n v="608179"/>
    <n v="45412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65B07-9342-4DEF-9D15-F283547A57EA}" name="PivotTable8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S26:X39" firstHeaderRow="1" firstDataRow="2" firstDataCol="1"/>
  <pivotFields count="17">
    <pivotField axis="axisRow" showAll="0">
      <items count="12">
        <item x="2"/>
        <item x="10"/>
        <item x="8"/>
        <item x="9"/>
        <item x="0"/>
        <item x="1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>
      <x v="4"/>
    </i>
  </colItems>
  <dataFields count="1">
    <dataField name="Sum of YTD" fld="15" baseField="0" baseItem="0"/>
  </dataFields>
  <formats count="2">
    <format dxfId="18">
      <pivotArea dataOnly="0" outline="0" fieldPosition="0">
        <references count="1">
          <reference field="16" count="5">
            <x v="0"/>
            <x v="1"/>
            <x v="2"/>
            <x v="3"/>
            <x v="4"/>
          </reference>
        </references>
      </pivotArea>
    </format>
    <format dxfId="19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5E2D2-C060-4C04-B1E1-4346D4E07C2B}" name="PivotTable1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S2:X15" firstHeaderRow="1" firstDataRow="2" firstDataCol="1"/>
  <pivotFields count="17">
    <pivotField axis="axisRow" showAll="0">
      <items count="12">
        <item x="2"/>
        <item x="10"/>
        <item x="8"/>
        <item x="9"/>
        <item x="0"/>
        <item x="1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>
      <x v="4"/>
    </i>
  </colItems>
  <dataFields count="1">
    <dataField name="Sum of Total" fld="14" baseField="0" baseItem="0" numFmtId="4"/>
  </dataFields>
  <formats count="2">
    <format dxfId="14">
      <pivotArea dataOnly="0" outline="0" fieldPosition="0">
        <references count="1">
          <reference field="16" count="5">
            <x v="0"/>
            <x v="1"/>
            <x v="2"/>
            <x v="3"/>
            <x v="4"/>
          </reference>
        </references>
      </pivotArea>
    </format>
    <format dxfId="1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ebeaccountant@test.com" TargetMode="External"/><Relationship Id="rId2" Type="http://schemas.openxmlformats.org/officeDocument/2006/relationships/hyperlink" Target="mailto:AdminAndebe@test.co.za" TargetMode="External"/><Relationship Id="rId1" Type="http://schemas.openxmlformats.org/officeDocument/2006/relationships/hyperlink" Target="mailto:GroupsalesManagerAndebe@test.co.za" TargetMode="External"/><Relationship Id="rId4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ACDB-4056-45B3-9111-1D44A1D8CE67}">
  <sheetPr codeName="Sheet1"/>
  <dimension ref="A1:K26"/>
  <sheetViews>
    <sheetView tabSelected="1" workbookViewId="0">
      <selection activeCell="F26" sqref="F26"/>
    </sheetView>
  </sheetViews>
  <sheetFormatPr defaultRowHeight="14.5" x14ac:dyDescent="0.35"/>
  <cols>
    <col min="1" max="1" width="19.1796875" bestFit="1" customWidth="1"/>
    <col min="2" max="2" width="28" bestFit="1" customWidth="1"/>
    <col min="3" max="3" width="19.7265625" bestFit="1" customWidth="1"/>
    <col min="5" max="5" width="26.90625" bestFit="1" customWidth="1"/>
    <col min="6" max="6" width="18.6328125" bestFit="1" customWidth="1"/>
    <col min="8" max="8" width="18.6328125" bestFit="1" customWidth="1"/>
    <col min="9" max="9" width="26.453125" bestFit="1" customWidth="1"/>
    <col min="10" max="10" width="27.6328125" bestFit="1" customWidth="1"/>
    <col min="11" max="11" width="12.6328125" bestFit="1" customWidth="1"/>
  </cols>
  <sheetData>
    <row r="1" spans="1:11" x14ac:dyDescent="0.35">
      <c r="B1" s="3" t="s">
        <v>11</v>
      </c>
    </row>
    <row r="2" spans="1:11" x14ac:dyDescent="0.35">
      <c r="H2" s="3" t="s">
        <v>16</v>
      </c>
      <c r="I2" s="3" t="s">
        <v>135</v>
      </c>
      <c r="J2" s="3" t="s">
        <v>17</v>
      </c>
    </row>
    <row r="3" spans="1:11" s="12" customFormat="1" x14ac:dyDescent="0.35">
      <c r="A3" s="12" t="s">
        <v>36</v>
      </c>
      <c r="B3" s="12" t="s">
        <v>0</v>
      </c>
      <c r="C3" s="12" t="s">
        <v>1</v>
      </c>
      <c r="E3" s="12" t="str">
        <f>SUBSTITUTE(B3,"Andebe","Megro")</f>
        <v>SalesPersonMegro1@test.co.za</v>
      </c>
      <c r="F3" s="12" t="str">
        <f>SUBSTITUTE(C3,"Andebe","Megro")</f>
        <v>Sales Person 1 Megro</v>
      </c>
      <c r="H3" s="12" t="s">
        <v>25</v>
      </c>
      <c r="I3" s="12" t="s">
        <v>26</v>
      </c>
      <c r="J3" s="12" t="s">
        <v>136</v>
      </c>
    </row>
    <row r="4" spans="1:11" s="12" customFormat="1" x14ac:dyDescent="0.35">
      <c r="B4" s="12" t="s">
        <v>2</v>
      </c>
      <c r="C4" s="12" t="s">
        <v>4</v>
      </c>
      <c r="E4" s="12" t="str">
        <f>SUBSTITUTE(B4,"Andebe","Megro")</f>
        <v>SalesPersonMegro2@test.co.za</v>
      </c>
      <c r="F4" s="12" t="str">
        <f t="shared" ref="F4:F5" si="0">SUBSTITUTE(C4,"Andebe","Megro")</f>
        <v>Sales Person 2 Megro</v>
      </c>
      <c r="H4" s="12" t="s">
        <v>27</v>
      </c>
      <c r="I4" s="12" t="s">
        <v>28</v>
      </c>
      <c r="J4" s="12" t="s">
        <v>136</v>
      </c>
    </row>
    <row r="5" spans="1:11" s="12" customFormat="1" x14ac:dyDescent="0.35">
      <c r="B5" s="12" t="s">
        <v>3</v>
      </c>
      <c r="C5" s="12" t="s">
        <v>5</v>
      </c>
      <c r="E5" s="12" t="str">
        <f>SUBSTITUTE(B5,"Andebe","Megro")</f>
        <v>SalesPersonMegro3@test.co.za</v>
      </c>
      <c r="F5" s="12" t="str">
        <f t="shared" si="0"/>
        <v>Sales Person 3 Megro</v>
      </c>
      <c r="H5" s="12" t="s">
        <v>33</v>
      </c>
      <c r="I5" s="12" t="s">
        <v>32</v>
      </c>
      <c r="J5" s="12" t="s">
        <v>136</v>
      </c>
    </row>
    <row r="7" spans="1:11" x14ac:dyDescent="0.35">
      <c r="A7" t="s">
        <v>20</v>
      </c>
      <c r="B7" t="s">
        <v>6</v>
      </c>
      <c r="C7" t="s">
        <v>8</v>
      </c>
      <c r="E7" t="str">
        <f>SUBSTITUTE(B7,"Andebe","Megro")</f>
        <v>ManagerMegro1@test.co.za</v>
      </c>
      <c r="F7" t="str">
        <f>SUBSTITUTE(C7,"Andebe","Megro")</f>
        <v>Manager 1 Megro</v>
      </c>
      <c r="H7" t="s">
        <v>34</v>
      </c>
      <c r="I7" s="12" t="s">
        <v>35</v>
      </c>
      <c r="J7" t="s">
        <v>11</v>
      </c>
    </row>
    <row r="8" spans="1:11" x14ac:dyDescent="0.35">
      <c r="B8" t="s">
        <v>7</v>
      </c>
      <c r="C8" t="s">
        <v>9</v>
      </c>
      <c r="E8" t="str">
        <f>SUBSTITUTE(B8,"Andebe","Megro")</f>
        <v>ManagerMegro2@test.co.za</v>
      </c>
      <c r="F8" t="str">
        <f t="shared" ref="F8" si="1">SUBSTITUTE(C8,"Andebe","Megro")</f>
        <v>Manager 2 Megro</v>
      </c>
      <c r="H8" t="s">
        <v>29</v>
      </c>
      <c r="I8" t="s">
        <v>30</v>
      </c>
      <c r="J8" t="s">
        <v>136</v>
      </c>
    </row>
    <row r="10" spans="1:11" x14ac:dyDescent="0.35">
      <c r="A10" t="s">
        <v>37</v>
      </c>
      <c r="B10" s="2" t="s">
        <v>12</v>
      </c>
      <c r="C10" t="s">
        <v>10</v>
      </c>
      <c r="E10" t="str">
        <f>SUBSTITUTE(B10,"Andebe","Megro")</f>
        <v>AdminMegro@test.co.za</v>
      </c>
      <c r="F10" t="str">
        <f t="shared" ref="F10" si="2">SUBSTITUTE(C10,"Andebe","Megro")</f>
        <v>Admin Megro</v>
      </c>
      <c r="H10" t="s">
        <v>31</v>
      </c>
      <c r="I10" t="s">
        <v>31</v>
      </c>
      <c r="J10" t="s">
        <v>136</v>
      </c>
    </row>
    <row r="11" spans="1:11" x14ac:dyDescent="0.35">
      <c r="B11" s="2"/>
    </row>
    <row r="12" spans="1:11" x14ac:dyDescent="0.35">
      <c r="A12" t="s">
        <v>38</v>
      </c>
      <c r="B12" s="1" t="s">
        <v>14</v>
      </c>
      <c r="C12" t="s">
        <v>13</v>
      </c>
      <c r="E12" t="str">
        <f>SUBSTITUTE(B12,"Andebe","Megro")</f>
        <v>GroupsalesManagerMegro@test.co.za</v>
      </c>
      <c r="F12" t="str">
        <f t="shared" ref="F12" si="3">SUBSTITUTE(C12,"Andebe","Megro")</f>
        <v>Group Manager Megro</v>
      </c>
      <c r="H12" t="s">
        <v>23</v>
      </c>
      <c r="I12" t="s">
        <v>24</v>
      </c>
      <c r="J12" t="s">
        <v>136</v>
      </c>
    </row>
    <row r="14" spans="1:11" x14ac:dyDescent="0.35">
      <c r="A14" t="s">
        <v>39</v>
      </c>
      <c r="B14" s="2" t="s">
        <v>42</v>
      </c>
      <c r="C14" t="s">
        <v>43</v>
      </c>
      <c r="E14" t="str">
        <f>SUBSTITUTE(B14,"Andebe","Megro")</f>
        <v>Megroaccountant@test.com</v>
      </c>
      <c r="F14" t="str">
        <f t="shared" ref="F14" si="4">SUBSTITUTE(C14,"Andebe","Megro")</f>
        <v>Megro Accountant</v>
      </c>
      <c r="H14" t="s">
        <v>40</v>
      </c>
      <c r="I14" t="s">
        <v>41</v>
      </c>
      <c r="J14" t="s">
        <v>11</v>
      </c>
    </row>
    <row r="16" spans="1:11" x14ac:dyDescent="0.35">
      <c r="H16" s="3" t="s">
        <v>149</v>
      </c>
      <c r="I16" s="3" t="s">
        <v>138</v>
      </c>
      <c r="J16" s="3" t="s">
        <v>135</v>
      </c>
      <c r="K16" s="3" t="s">
        <v>17</v>
      </c>
    </row>
    <row r="17" spans="1:11" x14ac:dyDescent="0.35">
      <c r="H17" t="s">
        <v>137</v>
      </c>
      <c r="I17" t="s">
        <v>139</v>
      </c>
      <c r="J17" t="s">
        <v>24</v>
      </c>
      <c r="K17" t="s">
        <v>136</v>
      </c>
    </row>
    <row r="18" spans="1:11" x14ac:dyDescent="0.35">
      <c r="A18" s="3" t="s">
        <v>15</v>
      </c>
      <c r="B18" s="3" t="s">
        <v>16</v>
      </c>
      <c r="C18" s="3" t="s">
        <v>17</v>
      </c>
      <c r="D18" s="3" t="s">
        <v>18</v>
      </c>
      <c r="H18" t="s">
        <v>34</v>
      </c>
      <c r="I18" t="s">
        <v>140</v>
      </c>
      <c r="J18" s="12" t="s">
        <v>35</v>
      </c>
      <c r="K18" t="s">
        <v>11</v>
      </c>
    </row>
    <row r="19" spans="1:11" x14ac:dyDescent="0.35">
      <c r="A19" t="s">
        <v>69</v>
      </c>
      <c r="B19" t="s">
        <v>70</v>
      </c>
      <c r="C19" t="s">
        <v>11</v>
      </c>
      <c r="D19" t="s">
        <v>19</v>
      </c>
      <c r="H19" t="s">
        <v>29</v>
      </c>
      <c r="I19" t="s">
        <v>140</v>
      </c>
      <c r="J19" t="s">
        <v>30</v>
      </c>
      <c r="K19" t="s">
        <v>136</v>
      </c>
    </row>
    <row r="20" spans="1:11" x14ac:dyDescent="0.35">
      <c r="A20" t="s">
        <v>71</v>
      </c>
      <c r="B20" t="s">
        <v>72</v>
      </c>
      <c r="C20" t="s">
        <v>11</v>
      </c>
      <c r="D20" t="s">
        <v>19</v>
      </c>
      <c r="H20" t="s">
        <v>141</v>
      </c>
      <c r="I20" t="s">
        <v>39</v>
      </c>
      <c r="J20" t="s">
        <v>41</v>
      </c>
      <c r="K20" t="s">
        <v>11</v>
      </c>
    </row>
    <row r="21" spans="1:11" x14ac:dyDescent="0.35">
      <c r="A21" t="s">
        <v>73</v>
      </c>
      <c r="B21" t="s">
        <v>74</v>
      </c>
      <c r="C21" t="s">
        <v>11</v>
      </c>
      <c r="D21" t="s">
        <v>19</v>
      </c>
      <c r="H21" t="s">
        <v>25</v>
      </c>
      <c r="I21" t="s">
        <v>142</v>
      </c>
      <c r="J21" s="12" t="s">
        <v>26</v>
      </c>
      <c r="K21" s="12" t="s">
        <v>136</v>
      </c>
    </row>
    <row r="22" spans="1:11" x14ac:dyDescent="0.35">
      <c r="A22" t="s">
        <v>75</v>
      </c>
      <c r="B22" t="s">
        <v>76</v>
      </c>
      <c r="C22" t="s">
        <v>11</v>
      </c>
      <c r="D22" t="s">
        <v>20</v>
      </c>
      <c r="H22" t="s">
        <v>27</v>
      </c>
      <c r="I22" t="s">
        <v>142</v>
      </c>
      <c r="J22" s="12" t="s">
        <v>28</v>
      </c>
      <c r="K22" s="12" t="s">
        <v>136</v>
      </c>
    </row>
    <row r="23" spans="1:11" x14ac:dyDescent="0.35">
      <c r="A23" t="s">
        <v>77</v>
      </c>
      <c r="B23" t="s">
        <v>78</v>
      </c>
      <c r="C23" t="s">
        <v>11</v>
      </c>
      <c r="D23" t="s">
        <v>20</v>
      </c>
      <c r="H23" t="s">
        <v>33</v>
      </c>
      <c r="I23" t="s">
        <v>142</v>
      </c>
      <c r="J23" s="12" t="s">
        <v>32</v>
      </c>
      <c r="K23" s="12" t="s">
        <v>136</v>
      </c>
    </row>
    <row r="24" spans="1:11" x14ac:dyDescent="0.35">
      <c r="A24" t="s">
        <v>79</v>
      </c>
      <c r="B24" t="s">
        <v>80</v>
      </c>
      <c r="C24" t="s">
        <v>11</v>
      </c>
      <c r="D24" t="s">
        <v>37</v>
      </c>
      <c r="H24" t="s">
        <v>143</v>
      </c>
      <c r="I24" t="s">
        <v>142</v>
      </c>
      <c r="J24" s="12" t="s">
        <v>146</v>
      </c>
      <c r="K24" t="s">
        <v>11</v>
      </c>
    </row>
    <row r="25" spans="1:11" x14ac:dyDescent="0.35">
      <c r="A25" t="s">
        <v>81</v>
      </c>
      <c r="B25" t="s">
        <v>82</v>
      </c>
      <c r="C25" t="s">
        <v>11</v>
      </c>
      <c r="D25" t="s">
        <v>21</v>
      </c>
      <c r="H25" t="s">
        <v>144</v>
      </c>
      <c r="I25" t="s">
        <v>142</v>
      </c>
      <c r="J25" s="12" t="s">
        <v>147</v>
      </c>
      <c r="K25" t="s">
        <v>11</v>
      </c>
    </row>
    <row r="26" spans="1:11" x14ac:dyDescent="0.35">
      <c r="H26" t="s">
        <v>145</v>
      </c>
      <c r="I26" t="s">
        <v>142</v>
      </c>
      <c r="J26" s="12" t="s">
        <v>148</v>
      </c>
      <c r="K26" t="s">
        <v>11</v>
      </c>
    </row>
  </sheetData>
  <hyperlinks>
    <hyperlink ref="B12" r:id="rId1" xr:uid="{8B0409D9-FC2B-4285-B13F-E59760B960F2}"/>
    <hyperlink ref="B10" r:id="rId2" xr:uid="{729FC606-6A2F-4262-855D-92E649A391F7}"/>
    <hyperlink ref="B14" r:id="rId3" xr:uid="{4AC5E7DF-6244-4976-B76D-312268705C77}"/>
  </hyperlinks>
  <pageMargins left="0.7" right="0.7" top="0.75" bottom="0.75" header="0.3" footer="0.3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0E64-1D26-4EF9-BA02-BCEE892B65E6}">
  <dimension ref="A1:E29"/>
  <sheetViews>
    <sheetView workbookViewId="0">
      <pane ySplit="2" topLeftCell="A3" activePane="bottomLeft" state="frozen"/>
      <selection pane="bottomLeft" activeCell="F16" sqref="F16"/>
    </sheetView>
  </sheetViews>
  <sheetFormatPr defaultRowHeight="14.5" x14ac:dyDescent="0.35"/>
  <cols>
    <col min="1" max="1" width="11.26953125" customWidth="1"/>
    <col min="2" max="2" width="36" bestFit="1" customWidth="1"/>
    <col min="3" max="3" width="9.81640625" customWidth="1"/>
  </cols>
  <sheetData>
    <row r="1" spans="1:5" x14ac:dyDescent="0.35">
      <c r="C1" s="3"/>
      <c r="E1" t="s">
        <v>67</v>
      </c>
    </row>
    <row r="2" spans="1:5" s="3" customFormat="1" x14ac:dyDescent="0.35">
      <c r="A2" s="3" t="s">
        <v>22</v>
      </c>
      <c r="B2" s="3" t="s">
        <v>47</v>
      </c>
      <c r="C2" s="4"/>
      <c r="D2" s="4"/>
      <c r="E2" t="s">
        <v>68</v>
      </c>
    </row>
    <row r="3" spans="1:5" x14ac:dyDescent="0.35">
      <c r="A3" t="s">
        <v>11</v>
      </c>
    </row>
    <row r="4" spans="1:5" x14ac:dyDescent="0.35">
      <c r="B4" t="s">
        <v>48</v>
      </c>
    </row>
    <row r="5" spans="1:5" x14ac:dyDescent="0.35">
      <c r="B5" t="s">
        <v>49</v>
      </c>
    </row>
    <row r="6" spans="1:5" x14ac:dyDescent="0.35">
      <c r="B6" t="s">
        <v>50</v>
      </c>
    </row>
    <row r="7" spans="1:5" x14ac:dyDescent="0.35">
      <c r="B7" t="s">
        <v>51</v>
      </c>
    </row>
    <row r="8" spans="1:5" x14ac:dyDescent="0.35">
      <c r="B8" t="s">
        <v>52</v>
      </c>
    </row>
    <row r="10" spans="1:5" x14ac:dyDescent="0.35">
      <c r="A10" t="s">
        <v>44</v>
      </c>
    </row>
    <row r="11" spans="1:5" x14ac:dyDescent="0.35">
      <c r="B11" t="s">
        <v>53</v>
      </c>
    </row>
    <row r="12" spans="1:5" x14ac:dyDescent="0.35">
      <c r="B12" t="s">
        <v>54</v>
      </c>
    </row>
    <row r="13" spans="1:5" x14ac:dyDescent="0.35">
      <c r="B13" t="s">
        <v>55</v>
      </c>
    </row>
    <row r="14" spans="1:5" x14ac:dyDescent="0.35">
      <c r="B14" t="s">
        <v>56</v>
      </c>
    </row>
    <row r="15" spans="1:5" x14ac:dyDescent="0.35">
      <c r="B15" t="s">
        <v>57</v>
      </c>
    </row>
    <row r="16" spans="1:5" x14ac:dyDescent="0.35">
      <c r="B16" t="s">
        <v>58</v>
      </c>
    </row>
    <row r="17" spans="1:2" x14ac:dyDescent="0.35">
      <c r="B17" t="s">
        <v>59</v>
      </c>
    </row>
    <row r="19" spans="1:2" x14ac:dyDescent="0.35">
      <c r="A19" t="s">
        <v>45</v>
      </c>
    </row>
    <row r="20" spans="1:2" x14ac:dyDescent="0.35">
      <c r="B20" t="s">
        <v>60</v>
      </c>
    </row>
    <row r="21" spans="1:2" x14ac:dyDescent="0.35">
      <c r="B21" t="s">
        <v>61</v>
      </c>
    </row>
    <row r="22" spans="1:2" x14ac:dyDescent="0.35">
      <c r="B22" t="s">
        <v>62</v>
      </c>
    </row>
    <row r="23" spans="1:2" x14ac:dyDescent="0.35">
      <c r="B23" t="s">
        <v>63</v>
      </c>
    </row>
    <row r="24" spans="1:2" x14ac:dyDescent="0.35">
      <c r="B24" t="s">
        <v>64</v>
      </c>
    </row>
    <row r="27" spans="1:2" x14ac:dyDescent="0.35">
      <c r="A27" t="s">
        <v>46</v>
      </c>
    </row>
    <row r="28" spans="1:2" x14ac:dyDescent="0.35">
      <c r="B28" t="s">
        <v>65</v>
      </c>
    </row>
    <row r="29" spans="1:2" x14ac:dyDescent="0.35">
      <c r="B2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AFA4-2730-424A-9AFE-02ACF52CB4C3}">
  <dimension ref="A1:T100"/>
  <sheetViews>
    <sheetView workbookViewId="0">
      <selection activeCell="O1" sqref="O1:O1048576"/>
    </sheetView>
  </sheetViews>
  <sheetFormatPr defaultRowHeight="14.5" x14ac:dyDescent="0.35"/>
  <cols>
    <col min="2" max="2" width="12.6328125" customWidth="1"/>
    <col min="3" max="14" width="10" style="6" bestFit="1" customWidth="1"/>
    <col min="15" max="15" width="8.453125" bestFit="1" customWidth="1"/>
    <col min="19" max="19" width="1.81640625" bestFit="1" customWidth="1"/>
  </cols>
  <sheetData>
    <row r="1" spans="1:20" s="3" customFormat="1" x14ac:dyDescent="0.35">
      <c r="A1" s="3" t="s">
        <v>83</v>
      </c>
      <c r="B1" s="3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/>
      <c r="Q1"/>
      <c r="S1"/>
      <c r="T1"/>
    </row>
    <row r="2" spans="1:20" x14ac:dyDescent="0.35">
      <c r="A2" t="s">
        <v>114</v>
      </c>
      <c r="B2" t="s">
        <v>119</v>
      </c>
      <c r="C2" s="10">
        <v>9138</v>
      </c>
      <c r="D2" s="10">
        <v>1517</v>
      </c>
      <c r="E2" s="10">
        <v>79142</v>
      </c>
      <c r="F2" s="10">
        <v>65749</v>
      </c>
      <c r="G2" s="10">
        <v>1780</v>
      </c>
      <c r="H2" s="10">
        <v>76631</v>
      </c>
      <c r="I2" s="10">
        <v>78420</v>
      </c>
      <c r="J2" s="10">
        <v>24088</v>
      </c>
      <c r="K2" s="10">
        <v>37438</v>
      </c>
      <c r="L2" s="10">
        <v>22236</v>
      </c>
      <c r="M2" s="10">
        <v>70583</v>
      </c>
      <c r="N2" s="10">
        <v>18542</v>
      </c>
      <c r="O2" s="8"/>
    </row>
    <row r="3" spans="1:20" x14ac:dyDescent="0.35">
      <c r="A3" t="s">
        <v>116</v>
      </c>
      <c r="B3" t="s">
        <v>120</v>
      </c>
      <c r="C3" s="10">
        <v>43753</v>
      </c>
      <c r="D3" s="10">
        <v>50181</v>
      </c>
      <c r="E3" s="10">
        <v>11954</v>
      </c>
      <c r="F3" s="10">
        <v>20387</v>
      </c>
      <c r="G3" s="10">
        <v>4613</v>
      </c>
      <c r="H3" s="10">
        <v>52862</v>
      </c>
      <c r="I3" s="10">
        <v>59258</v>
      </c>
      <c r="J3" s="10">
        <v>21761</v>
      </c>
      <c r="K3" s="10">
        <v>88380</v>
      </c>
      <c r="L3" s="10">
        <v>22742</v>
      </c>
      <c r="M3" s="10">
        <v>97518</v>
      </c>
      <c r="N3" s="10">
        <v>8904</v>
      </c>
      <c r="O3" s="8"/>
    </row>
    <row r="4" spans="1:20" x14ac:dyDescent="0.35">
      <c r="A4" t="s">
        <v>99</v>
      </c>
      <c r="B4" t="s">
        <v>97</v>
      </c>
      <c r="C4" s="10">
        <v>94189</v>
      </c>
      <c r="D4" s="10">
        <v>99333</v>
      </c>
      <c r="E4" s="10">
        <v>25781</v>
      </c>
      <c r="F4" s="10">
        <v>49049</v>
      </c>
      <c r="G4" s="10">
        <v>64407</v>
      </c>
      <c r="H4" s="10">
        <v>92515</v>
      </c>
      <c r="I4" s="10">
        <v>41104</v>
      </c>
      <c r="J4" s="10">
        <v>94769</v>
      </c>
      <c r="K4" s="10">
        <v>27497</v>
      </c>
      <c r="L4" s="10">
        <v>59193</v>
      </c>
      <c r="M4" s="10">
        <v>60192</v>
      </c>
      <c r="N4" s="10">
        <v>94503</v>
      </c>
      <c r="O4" s="8"/>
    </row>
    <row r="5" spans="1:20" x14ac:dyDescent="0.35">
      <c r="A5" t="s">
        <v>99</v>
      </c>
      <c r="B5" t="s">
        <v>120</v>
      </c>
      <c r="C5" s="10">
        <v>63506</v>
      </c>
      <c r="D5" s="10">
        <v>81273</v>
      </c>
      <c r="E5" s="10">
        <v>49725</v>
      </c>
      <c r="F5" s="10">
        <v>25352</v>
      </c>
      <c r="G5" s="10">
        <v>38996</v>
      </c>
      <c r="H5" s="10">
        <v>15554</v>
      </c>
      <c r="I5" s="10">
        <v>77906</v>
      </c>
      <c r="J5" s="10">
        <v>86796</v>
      </c>
      <c r="K5" s="10">
        <v>55329</v>
      </c>
      <c r="L5" s="10">
        <v>28265</v>
      </c>
      <c r="M5" s="10">
        <v>59135</v>
      </c>
      <c r="N5" s="10">
        <v>84852</v>
      </c>
      <c r="O5" s="8"/>
    </row>
    <row r="6" spans="1:20" x14ac:dyDescent="0.35">
      <c r="A6" t="s">
        <v>118</v>
      </c>
      <c r="B6" t="s">
        <v>119</v>
      </c>
      <c r="C6" s="10">
        <v>97390</v>
      </c>
      <c r="D6" s="10">
        <v>26084</v>
      </c>
      <c r="E6" s="10">
        <v>80039</v>
      </c>
      <c r="F6" s="10">
        <v>55087</v>
      </c>
      <c r="G6" s="10">
        <v>40990</v>
      </c>
      <c r="H6" s="10">
        <v>13015</v>
      </c>
      <c r="I6" s="10">
        <v>56238</v>
      </c>
      <c r="J6" s="10">
        <v>75156</v>
      </c>
      <c r="K6" s="10">
        <v>71301</v>
      </c>
      <c r="L6" s="10">
        <v>64060</v>
      </c>
      <c r="M6" s="10">
        <v>78841</v>
      </c>
      <c r="N6" s="10">
        <v>35811</v>
      </c>
      <c r="O6" s="8"/>
    </row>
    <row r="7" spans="1:20" x14ac:dyDescent="0.35">
      <c r="A7" t="s">
        <v>11</v>
      </c>
      <c r="B7" t="s">
        <v>98</v>
      </c>
      <c r="C7" s="10">
        <v>7258</v>
      </c>
      <c r="D7" s="10">
        <v>41063</v>
      </c>
      <c r="E7" s="10">
        <v>14414</v>
      </c>
      <c r="F7" s="10">
        <v>87167</v>
      </c>
      <c r="G7" s="10">
        <v>59661</v>
      </c>
      <c r="H7" s="10">
        <v>39437</v>
      </c>
      <c r="I7" s="10">
        <v>15768</v>
      </c>
      <c r="J7" s="10">
        <v>53341</v>
      </c>
      <c r="K7" s="10">
        <v>92354</v>
      </c>
      <c r="L7" s="10">
        <v>43004</v>
      </c>
      <c r="M7" s="10">
        <v>90809</v>
      </c>
      <c r="N7" s="10">
        <v>71410</v>
      </c>
      <c r="O7" s="8"/>
    </row>
    <row r="8" spans="1:20" x14ac:dyDescent="0.35">
      <c r="A8" t="s">
        <v>113</v>
      </c>
      <c r="B8" t="s">
        <v>120</v>
      </c>
      <c r="C8" s="10">
        <v>54908</v>
      </c>
      <c r="D8" s="10">
        <v>90880</v>
      </c>
      <c r="E8" s="10">
        <v>11435</v>
      </c>
      <c r="F8" s="10">
        <v>33871</v>
      </c>
      <c r="G8" s="10">
        <v>18505</v>
      </c>
      <c r="H8" s="10">
        <v>97662</v>
      </c>
      <c r="I8" s="10">
        <v>55696</v>
      </c>
      <c r="J8" s="10">
        <v>9413</v>
      </c>
      <c r="K8" s="10">
        <v>82484</v>
      </c>
      <c r="L8" s="10">
        <v>41288</v>
      </c>
      <c r="M8" s="10">
        <v>8349</v>
      </c>
      <c r="N8" s="10">
        <v>61451</v>
      </c>
      <c r="O8" s="8"/>
    </row>
    <row r="9" spans="1:20" x14ac:dyDescent="0.35">
      <c r="A9" t="s">
        <v>114</v>
      </c>
      <c r="B9" t="s">
        <v>97</v>
      </c>
      <c r="C9" s="10">
        <v>38260</v>
      </c>
      <c r="D9" s="10">
        <v>47838</v>
      </c>
      <c r="E9" s="10">
        <v>4974</v>
      </c>
      <c r="F9" s="10">
        <v>76621</v>
      </c>
      <c r="G9" s="10">
        <v>58829</v>
      </c>
      <c r="H9" s="10">
        <v>50521</v>
      </c>
      <c r="I9" s="10">
        <v>1019</v>
      </c>
      <c r="J9" s="10">
        <v>66841</v>
      </c>
      <c r="K9">
        <v>320</v>
      </c>
      <c r="L9" s="10">
        <v>81686</v>
      </c>
      <c r="M9" s="10">
        <v>66422</v>
      </c>
      <c r="N9" s="10">
        <v>48526</v>
      </c>
      <c r="O9" s="8"/>
    </row>
    <row r="10" spans="1:20" x14ac:dyDescent="0.35">
      <c r="A10" t="s">
        <v>117</v>
      </c>
      <c r="B10" t="s">
        <v>120</v>
      </c>
      <c r="C10" s="10">
        <v>25927</v>
      </c>
      <c r="D10" s="10">
        <v>45872</v>
      </c>
      <c r="E10" s="10">
        <v>6347</v>
      </c>
      <c r="F10" s="10">
        <v>19996</v>
      </c>
      <c r="G10" s="10">
        <v>19492</v>
      </c>
      <c r="H10" s="10">
        <v>8297</v>
      </c>
      <c r="I10" s="10">
        <v>25448</v>
      </c>
      <c r="J10" s="10">
        <v>51926</v>
      </c>
      <c r="K10" s="10">
        <v>11450</v>
      </c>
      <c r="L10" s="10">
        <v>31186</v>
      </c>
      <c r="M10" s="10">
        <v>38653</v>
      </c>
      <c r="N10" s="10">
        <v>27023</v>
      </c>
      <c r="O10" s="8"/>
    </row>
    <row r="11" spans="1:20" x14ac:dyDescent="0.35">
      <c r="A11" t="s">
        <v>113</v>
      </c>
      <c r="B11" t="s">
        <v>97</v>
      </c>
      <c r="C11" s="10">
        <v>81036</v>
      </c>
      <c r="D11" s="10">
        <v>77363</v>
      </c>
      <c r="E11" s="10">
        <v>60532</v>
      </c>
      <c r="F11" s="10">
        <v>43129</v>
      </c>
      <c r="G11" s="10">
        <v>26424</v>
      </c>
      <c r="H11" s="10">
        <v>46771</v>
      </c>
      <c r="I11" s="10">
        <v>61150</v>
      </c>
      <c r="J11" s="10">
        <v>86862</v>
      </c>
      <c r="K11" s="10">
        <v>48290</v>
      </c>
      <c r="L11" s="10">
        <v>27969</v>
      </c>
      <c r="M11" s="10">
        <v>84329</v>
      </c>
      <c r="N11" s="10">
        <v>40266</v>
      </c>
      <c r="O11" s="8"/>
    </row>
    <row r="12" spans="1:20" x14ac:dyDescent="0.35">
      <c r="A12" t="s">
        <v>115</v>
      </c>
      <c r="B12" t="s">
        <v>120</v>
      </c>
      <c r="C12" s="10">
        <v>6333</v>
      </c>
      <c r="D12" s="10">
        <v>14621</v>
      </c>
      <c r="E12" s="10">
        <v>99633</v>
      </c>
      <c r="F12" s="10">
        <v>67398</v>
      </c>
      <c r="G12" s="10">
        <v>45837</v>
      </c>
      <c r="H12" s="10">
        <v>92864</v>
      </c>
      <c r="I12" s="10">
        <v>60525</v>
      </c>
      <c r="J12" s="10">
        <v>89615</v>
      </c>
      <c r="K12" s="10">
        <v>79960</v>
      </c>
      <c r="L12" s="10">
        <v>49979</v>
      </c>
      <c r="M12" s="10">
        <v>50054</v>
      </c>
      <c r="N12" s="10">
        <v>69936</v>
      </c>
      <c r="O12" s="8"/>
    </row>
    <row r="13" spans="1:20" x14ac:dyDescent="0.35">
      <c r="A13" t="s">
        <v>11</v>
      </c>
      <c r="B13" t="s">
        <v>119</v>
      </c>
      <c r="C13" s="10">
        <v>21786</v>
      </c>
      <c r="D13" s="10">
        <v>70127</v>
      </c>
      <c r="E13" s="10">
        <v>6333</v>
      </c>
      <c r="F13" s="10">
        <v>92239</v>
      </c>
      <c r="G13" s="10">
        <v>48518</v>
      </c>
      <c r="H13" s="10">
        <v>33200</v>
      </c>
      <c r="I13" s="10">
        <v>28391</v>
      </c>
      <c r="J13" s="10">
        <v>71380</v>
      </c>
      <c r="K13" s="10">
        <v>56255</v>
      </c>
      <c r="L13" s="10">
        <v>65222</v>
      </c>
      <c r="M13" s="10">
        <v>48641</v>
      </c>
      <c r="N13" s="10">
        <v>82722</v>
      </c>
      <c r="O13" s="8"/>
    </row>
    <row r="14" spans="1:20" x14ac:dyDescent="0.35">
      <c r="A14" t="s">
        <v>118</v>
      </c>
      <c r="B14" t="s">
        <v>120</v>
      </c>
      <c r="C14" s="10">
        <v>91455</v>
      </c>
      <c r="D14" s="10">
        <v>38360</v>
      </c>
      <c r="E14" s="10">
        <v>40583</v>
      </c>
      <c r="F14" s="10">
        <v>7086</v>
      </c>
      <c r="G14" s="10">
        <v>8197</v>
      </c>
      <c r="H14" s="10">
        <v>58082</v>
      </c>
      <c r="I14" s="10">
        <v>65530</v>
      </c>
      <c r="J14" s="10">
        <v>35174</v>
      </c>
      <c r="K14" s="10">
        <v>29276</v>
      </c>
      <c r="L14" s="10">
        <v>35419</v>
      </c>
      <c r="M14" s="10">
        <v>76926</v>
      </c>
      <c r="N14" s="10">
        <v>51312</v>
      </c>
      <c r="O14" s="8"/>
    </row>
    <row r="15" spans="1:20" x14ac:dyDescent="0.35">
      <c r="A15" t="s">
        <v>117</v>
      </c>
      <c r="B15" t="s">
        <v>98</v>
      </c>
      <c r="C15" s="10">
        <v>84644</v>
      </c>
      <c r="D15" s="10">
        <v>41594</v>
      </c>
      <c r="E15" s="10">
        <v>75977</v>
      </c>
      <c r="F15" s="10">
        <v>60817</v>
      </c>
      <c r="G15" s="10">
        <v>10556</v>
      </c>
      <c r="H15" s="10">
        <v>99400</v>
      </c>
      <c r="I15" s="10">
        <v>53683</v>
      </c>
      <c r="J15" s="10">
        <v>19569</v>
      </c>
      <c r="K15" s="10">
        <v>20270</v>
      </c>
      <c r="L15" s="10">
        <v>48214</v>
      </c>
      <c r="M15" s="10">
        <v>89787</v>
      </c>
      <c r="N15" s="10">
        <v>69068</v>
      </c>
      <c r="O15" s="8"/>
    </row>
    <row r="16" spans="1:20" x14ac:dyDescent="0.35">
      <c r="A16" t="s">
        <v>113</v>
      </c>
      <c r="B16" t="s">
        <v>98</v>
      </c>
      <c r="C16" s="10">
        <v>22300</v>
      </c>
      <c r="D16" s="10">
        <v>85109</v>
      </c>
      <c r="E16" s="10">
        <v>7262</v>
      </c>
      <c r="F16" s="10">
        <v>32601</v>
      </c>
      <c r="G16" s="10">
        <v>74115</v>
      </c>
      <c r="H16" s="10">
        <v>63195</v>
      </c>
      <c r="I16" s="10">
        <v>75439</v>
      </c>
      <c r="J16" s="10">
        <v>23968</v>
      </c>
      <c r="K16" s="10">
        <v>35113</v>
      </c>
      <c r="L16" s="10">
        <v>34926</v>
      </c>
      <c r="M16" s="10">
        <v>94234</v>
      </c>
      <c r="N16" s="10">
        <v>59637</v>
      </c>
      <c r="O16" s="8"/>
    </row>
    <row r="17" spans="1:15" x14ac:dyDescent="0.35">
      <c r="A17" t="s">
        <v>114</v>
      </c>
      <c r="B17" t="s">
        <v>98</v>
      </c>
      <c r="C17" s="10">
        <v>71247</v>
      </c>
      <c r="D17" s="10">
        <v>85496</v>
      </c>
      <c r="E17" s="10">
        <v>41717</v>
      </c>
      <c r="F17" s="10">
        <v>59602</v>
      </c>
      <c r="G17" s="10">
        <v>79837</v>
      </c>
      <c r="H17" s="10">
        <v>95439</v>
      </c>
      <c r="I17" s="10">
        <v>22982</v>
      </c>
      <c r="J17" s="10">
        <v>46171</v>
      </c>
      <c r="K17" s="10">
        <v>61190</v>
      </c>
      <c r="L17" s="10">
        <v>25649</v>
      </c>
      <c r="M17" s="10">
        <v>70191</v>
      </c>
      <c r="N17" s="10">
        <v>72487</v>
      </c>
      <c r="O17" s="8"/>
    </row>
    <row r="18" spans="1:15" x14ac:dyDescent="0.35">
      <c r="A18" t="s">
        <v>115</v>
      </c>
      <c r="B18" t="s">
        <v>97</v>
      </c>
      <c r="C18" s="10">
        <v>67055</v>
      </c>
      <c r="D18" s="10">
        <v>91926</v>
      </c>
      <c r="E18" s="10">
        <v>91994</v>
      </c>
      <c r="F18" s="10">
        <v>94246</v>
      </c>
      <c r="G18" s="10">
        <v>79213</v>
      </c>
      <c r="H18" s="10">
        <v>99776</v>
      </c>
      <c r="I18" s="10">
        <v>12072</v>
      </c>
      <c r="J18" s="10">
        <v>85997</v>
      </c>
      <c r="K18" s="10">
        <v>56744</v>
      </c>
      <c r="L18" s="10">
        <v>20461</v>
      </c>
      <c r="M18" s="10">
        <v>73947</v>
      </c>
      <c r="N18" s="10">
        <v>36953</v>
      </c>
      <c r="O18" s="8"/>
    </row>
    <row r="19" spans="1:15" x14ac:dyDescent="0.35">
      <c r="A19" t="s">
        <v>114</v>
      </c>
      <c r="B19" t="s">
        <v>120</v>
      </c>
      <c r="C19" s="10">
        <v>93669</v>
      </c>
      <c r="D19" s="10">
        <v>57970</v>
      </c>
      <c r="E19" s="10">
        <v>18170</v>
      </c>
      <c r="F19" s="10">
        <v>76437</v>
      </c>
      <c r="G19" s="10">
        <v>30660</v>
      </c>
      <c r="H19" s="10">
        <v>64232</v>
      </c>
      <c r="I19" s="10">
        <v>10792</v>
      </c>
      <c r="J19" s="10">
        <v>4568</v>
      </c>
      <c r="K19" s="10">
        <v>4310</v>
      </c>
      <c r="L19" s="10">
        <v>12397</v>
      </c>
      <c r="M19" s="10">
        <v>26151</v>
      </c>
      <c r="N19" s="10">
        <v>2946</v>
      </c>
      <c r="O19" s="8"/>
    </row>
    <row r="20" spans="1:15" x14ac:dyDescent="0.35">
      <c r="A20" t="s">
        <v>118</v>
      </c>
      <c r="B20" t="s">
        <v>97</v>
      </c>
      <c r="C20" s="10">
        <v>15866</v>
      </c>
      <c r="D20" s="10">
        <v>95702</v>
      </c>
      <c r="E20" s="10">
        <v>30882</v>
      </c>
      <c r="F20" s="10">
        <v>26927</v>
      </c>
      <c r="G20" s="10">
        <v>17465</v>
      </c>
      <c r="H20" s="10">
        <v>27495</v>
      </c>
      <c r="I20" s="10">
        <v>46446</v>
      </c>
      <c r="J20" s="10">
        <v>92802</v>
      </c>
      <c r="K20" s="10">
        <v>8769</v>
      </c>
      <c r="L20" s="10">
        <v>63780</v>
      </c>
      <c r="M20" s="10">
        <v>98030</v>
      </c>
      <c r="N20" s="10">
        <v>42770</v>
      </c>
      <c r="O20" s="8"/>
    </row>
    <row r="21" spans="1:15" x14ac:dyDescent="0.35">
      <c r="A21" t="s">
        <v>115</v>
      </c>
      <c r="B21" t="s">
        <v>119</v>
      </c>
      <c r="C21" s="10">
        <v>68864</v>
      </c>
      <c r="D21" s="10">
        <v>95319</v>
      </c>
      <c r="E21" s="10">
        <v>35509</v>
      </c>
      <c r="F21" s="10">
        <v>25206</v>
      </c>
      <c r="G21" s="10">
        <v>37142</v>
      </c>
      <c r="H21" s="10">
        <v>19641</v>
      </c>
      <c r="I21" s="10">
        <v>81324</v>
      </c>
      <c r="J21" s="10">
        <v>65564</v>
      </c>
      <c r="K21" s="10">
        <v>23171</v>
      </c>
      <c r="L21" s="10">
        <v>83973</v>
      </c>
      <c r="M21" s="10">
        <v>28736</v>
      </c>
      <c r="N21" s="10">
        <v>82626</v>
      </c>
      <c r="O21" s="8"/>
    </row>
    <row r="22" spans="1:15" x14ac:dyDescent="0.35">
      <c r="A22" t="s">
        <v>117</v>
      </c>
      <c r="B22" t="s">
        <v>119</v>
      </c>
      <c r="C22" s="10">
        <v>68027</v>
      </c>
      <c r="D22" s="10">
        <v>71055</v>
      </c>
      <c r="E22" s="10">
        <v>50067</v>
      </c>
      <c r="F22" s="10">
        <v>42679</v>
      </c>
      <c r="G22" s="10">
        <v>62074</v>
      </c>
      <c r="H22" s="10">
        <v>51214</v>
      </c>
      <c r="I22" s="10">
        <v>58551</v>
      </c>
      <c r="J22" s="10">
        <v>40340</v>
      </c>
      <c r="K22" s="10">
        <v>28162</v>
      </c>
      <c r="L22" s="10">
        <v>91034</v>
      </c>
      <c r="M22" s="10">
        <v>20684</v>
      </c>
      <c r="N22" s="10">
        <v>31133</v>
      </c>
      <c r="O22" s="8"/>
    </row>
    <row r="23" spans="1:15" x14ac:dyDescent="0.35">
      <c r="A23" t="s">
        <v>116</v>
      </c>
      <c r="B23" t="s">
        <v>98</v>
      </c>
      <c r="C23" s="10">
        <v>36706</v>
      </c>
      <c r="D23" s="10">
        <v>1096</v>
      </c>
      <c r="E23" s="10">
        <v>21276</v>
      </c>
      <c r="F23" s="10">
        <v>55989</v>
      </c>
      <c r="G23" s="10">
        <v>30192</v>
      </c>
      <c r="H23" s="10">
        <v>10206</v>
      </c>
      <c r="I23" s="10">
        <v>20109</v>
      </c>
      <c r="J23" s="10">
        <v>33517</v>
      </c>
      <c r="K23" s="10">
        <v>56808</v>
      </c>
      <c r="L23" s="10">
        <v>71883</v>
      </c>
      <c r="M23" s="10">
        <v>47065</v>
      </c>
      <c r="N23" s="10">
        <v>13673</v>
      </c>
      <c r="O23" s="8"/>
    </row>
    <row r="24" spans="1:15" x14ac:dyDescent="0.35">
      <c r="A24" t="s">
        <v>117</v>
      </c>
      <c r="B24" t="s">
        <v>97</v>
      </c>
      <c r="C24" s="10">
        <v>17977</v>
      </c>
      <c r="D24" s="10">
        <v>75707</v>
      </c>
      <c r="E24" s="10">
        <v>19863</v>
      </c>
      <c r="F24" s="10">
        <v>30875</v>
      </c>
      <c r="G24" s="10">
        <v>61607</v>
      </c>
      <c r="H24" s="10">
        <v>81053</v>
      </c>
      <c r="I24" s="10">
        <v>27979</v>
      </c>
      <c r="J24" s="10">
        <v>97612</v>
      </c>
      <c r="K24" s="10">
        <v>22261</v>
      </c>
      <c r="L24" s="10">
        <v>86493</v>
      </c>
      <c r="M24" s="10">
        <v>5388</v>
      </c>
      <c r="N24" s="10">
        <v>9803</v>
      </c>
      <c r="O24" s="8"/>
    </row>
    <row r="25" spans="1:15" x14ac:dyDescent="0.35">
      <c r="A25" t="s">
        <v>116</v>
      </c>
      <c r="B25" t="s">
        <v>119</v>
      </c>
      <c r="C25" s="10">
        <v>93820</v>
      </c>
      <c r="D25" s="10">
        <v>67428</v>
      </c>
      <c r="E25" s="10">
        <v>67244</v>
      </c>
      <c r="F25" s="10">
        <v>48128</v>
      </c>
      <c r="G25" s="10">
        <v>53384</v>
      </c>
      <c r="H25" s="10">
        <v>50430</v>
      </c>
      <c r="I25" s="10">
        <v>86675</v>
      </c>
      <c r="J25" s="10">
        <v>97407</v>
      </c>
      <c r="K25" s="10">
        <v>85530</v>
      </c>
      <c r="L25" s="10">
        <v>6801</v>
      </c>
      <c r="M25" s="10">
        <v>1571</v>
      </c>
      <c r="N25" s="10">
        <v>40846</v>
      </c>
      <c r="O25" s="8"/>
    </row>
    <row r="26" spans="1:15" x14ac:dyDescent="0.35">
      <c r="A26" t="s">
        <v>99</v>
      </c>
      <c r="B26" t="s">
        <v>119</v>
      </c>
      <c r="C26" s="10">
        <v>61202</v>
      </c>
      <c r="D26" s="10">
        <v>95255</v>
      </c>
      <c r="E26" s="10">
        <v>33395</v>
      </c>
      <c r="F26" s="10">
        <v>27800</v>
      </c>
      <c r="G26" s="10">
        <v>33300</v>
      </c>
      <c r="H26" s="10">
        <v>35040</v>
      </c>
      <c r="I26" s="10">
        <v>98526</v>
      </c>
      <c r="J26" s="10">
        <v>76656</v>
      </c>
      <c r="K26" s="10">
        <v>98858</v>
      </c>
      <c r="L26" s="10">
        <v>45848</v>
      </c>
      <c r="M26" s="10">
        <v>11186</v>
      </c>
      <c r="N26" s="10">
        <v>64825</v>
      </c>
      <c r="O26" s="8"/>
    </row>
    <row r="27" spans="1:15" x14ac:dyDescent="0.35">
      <c r="A27" t="s">
        <v>11</v>
      </c>
      <c r="B27" t="s">
        <v>120</v>
      </c>
      <c r="C27" s="10">
        <v>83728</v>
      </c>
      <c r="D27" s="10">
        <v>15762</v>
      </c>
      <c r="E27" s="10">
        <v>7982</v>
      </c>
      <c r="F27" s="10">
        <v>41529</v>
      </c>
      <c r="G27" s="10">
        <v>78987</v>
      </c>
      <c r="H27" s="10">
        <v>20325</v>
      </c>
      <c r="I27" s="10">
        <v>99237</v>
      </c>
      <c r="J27" s="10">
        <v>29204</v>
      </c>
      <c r="K27" s="10">
        <v>89754</v>
      </c>
      <c r="L27" s="10">
        <v>43735</v>
      </c>
      <c r="M27" s="10">
        <v>93624</v>
      </c>
      <c r="N27" s="10">
        <v>63399</v>
      </c>
      <c r="O27" s="8"/>
    </row>
    <row r="28" spans="1:15" x14ac:dyDescent="0.35">
      <c r="A28" t="s">
        <v>116</v>
      </c>
      <c r="B28" t="s">
        <v>97</v>
      </c>
      <c r="C28" s="10">
        <v>73495</v>
      </c>
      <c r="D28" s="10">
        <v>28654</v>
      </c>
      <c r="E28" s="10">
        <v>66709</v>
      </c>
      <c r="F28" s="10">
        <v>70582</v>
      </c>
      <c r="G28" s="10">
        <v>36804</v>
      </c>
      <c r="H28" s="10">
        <v>82961</v>
      </c>
      <c r="I28" s="10">
        <v>21977</v>
      </c>
      <c r="J28" s="10">
        <v>78340</v>
      </c>
      <c r="K28" s="10">
        <v>50488</v>
      </c>
      <c r="L28" s="10">
        <v>90225</v>
      </c>
      <c r="M28" s="10">
        <v>68056</v>
      </c>
      <c r="N28" s="10">
        <v>35967</v>
      </c>
      <c r="O28" s="8"/>
    </row>
    <row r="29" spans="1:15" x14ac:dyDescent="0.35">
      <c r="A29" t="s">
        <v>118</v>
      </c>
      <c r="B29" t="s">
        <v>98</v>
      </c>
      <c r="C29" s="10">
        <v>32253</v>
      </c>
      <c r="D29" s="10">
        <v>53684</v>
      </c>
      <c r="E29" s="10">
        <v>98525</v>
      </c>
      <c r="F29" s="10">
        <v>81214</v>
      </c>
      <c r="G29" s="10">
        <v>21861</v>
      </c>
      <c r="H29" s="10">
        <v>14585</v>
      </c>
      <c r="I29" s="10">
        <v>21071</v>
      </c>
      <c r="J29" s="10">
        <v>50437</v>
      </c>
      <c r="K29" s="10">
        <v>34753</v>
      </c>
      <c r="L29" s="10">
        <v>10848</v>
      </c>
      <c r="M29" s="10">
        <v>97140</v>
      </c>
      <c r="N29" s="10">
        <v>88031</v>
      </c>
      <c r="O29" s="8"/>
    </row>
    <row r="30" spans="1:15" x14ac:dyDescent="0.35">
      <c r="A30" t="s">
        <v>11</v>
      </c>
      <c r="B30" t="s">
        <v>97</v>
      </c>
      <c r="C30" s="10">
        <v>61980</v>
      </c>
      <c r="D30" s="10">
        <v>12972</v>
      </c>
      <c r="E30" s="10">
        <v>6962</v>
      </c>
      <c r="F30" s="10">
        <v>93709</v>
      </c>
      <c r="G30" s="10">
        <v>3745</v>
      </c>
      <c r="H30" s="10">
        <v>9524</v>
      </c>
      <c r="I30" s="10">
        <v>8724</v>
      </c>
      <c r="J30" s="10">
        <v>31904</v>
      </c>
      <c r="K30" s="10">
        <v>68350</v>
      </c>
      <c r="L30" s="10">
        <v>87600</v>
      </c>
      <c r="M30" s="10">
        <v>31696</v>
      </c>
      <c r="N30" s="10">
        <v>77209</v>
      </c>
      <c r="O30" s="8"/>
    </row>
    <row r="31" spans="1:15" x14ac:dyDescent="0.35">
      <c r="A31" t="s">
        <v>99</v>
      </c>
      <c r="B31" t="s">
        <v>98</v>
      </c>
      <c r="C31" s="10">
        <v>21489</v>
      </c>
      <c r="D31" s="10">
        <v>16570</v>
      </c>
      <c r="E31" s="10">
        <v>6744</v>
      </c>
      <c r="F31" s="10">
        <v>10501</v>
      </c>
      <c r="G31" s="10">
        <v>99090</v>
      </c>
      <c r="H31" s="10">
        <v>36324</v>
      </c>
      <c r="I31" s="10">
        <v>28588</v>
      </c>
      <c r="J31" s="10">
        <v>85430</v>
      </c>
      <c r="K31" s="10">
        <v>44555</v>
      </c>
      <c r="L31" s="10">
        <v>26991</v>
      </c>
      <c r="M31" s="10">
        <v>46473</v>
      </c>
      <c r="N31" s="10">
        <v>10605</v>
      </c>
      <c r="O31" s="8"/>
    </row>
    <row r="32" spans="1:15" x14ac:dyDescent="0.35">
      <c r="A32" t="s">
        <v>115</v>
      </c>
      <c r="B32" t="s">
        <v>98</v>
      </c>
      <c r="C32" s="10">
        <v>32054</v>
      </c>
      <c r="D32" s="10">
        <v>3214</v>
      </c>
      <c r="E32" s="10">
        <v>32468</v>
      </c>
      <c r="F32" s="10">
        <v>21409</v>
      </c>
      <c r="G32" s="10">
        <v>53795</v>
      </c>
      <c r="H32" s="10">
        <v>23578</v>
      </c>
      <c r="I32" s="10">
        <v>92447</v>
      </c>
      <c r="J32" s="10">
        <v>81472</v>
      </c>
      <c r="K32" s="10">
        <v>23794</v>
      </c>
      <c r="L32" s="10">
        <v>37739</v>
      </c>
      <c r="M32" s="10">
        <v>82147</v>
      </c>
      <c r="N32" s="10">
        <v>8018</v>
      </c>
      <c r="O32" s="8"/>
    </row>
    <row r="33" spans="1:15" x14ac:dyDescent="0.35">
      <c r="A33" t="s">
        <v>113</v>
      </c>
      <c r="B33" t="s">
        <v>119</v>
      </c>
      <c r="C33" s="10">
        <v>49346</v>
      </c>
      <c r="D33" s="10">
        <v>66321</v>
      </c>
      <c r="E33" s="10">
        <v>65012</v>
      </c>
      <c r="F33" s="10">
        <v>29771</v>
      </c>
      <c r="G33" s="10">
        <v>88963</v>
      </c>
      <c r="H33" s="10">
        <v>6028</v>
      </c>
      <c r="I33" s="10">
        <v>90784</v>
      </c>
      <c r="J33" s="10">
        <v>54941</v>
      </c>
      <c r="K33" s="10">
        <v>7203</v>
      </c>
      <c r="L33" s="10">
        <v>26863</v>
      </c>
      <c r="M33" s="10">
        <v>84143</v>
      </c>
      <c r="N33" s="10">
        <v>29431</v>
      </c>
      <c r="O33" s="8"/>
    </row>
    <row r="34" spans="1:15" x14ac:dyDescent="0.35">
      <c r="O34" s="8"/>
    </row>
    <row r="35" spans="1:15" x14ac:dyDescent="0.35">
      <c r="O35" s="8"/>
    </row>
    <row r="36" spans="1:15" x14ac:dyDescent="0.35">
      <c r="O36" s="8"/>
    </row>
    <row r="37" spans="1:15" x14ac:dyDescent="0.35">
      <c r="O37" s="8"/>
    </row>
    <row r="38" spans="1:15" x14ac:dyDescent="0.35">
      <c r="O38" s="8"/>
    </row>
    <row r="39" spans="1:15" x14ac:dyDescent="0.35">
      <c r="O39" s="8"/>
    </row>
    <row r="40" spans="1:15" x14ac:dyDescent="0.35">
      <c r="O40" s="8"/>
    </row>
    <row r="41" spans="1:15" x14ac:dyDescent="0.35">
      <c r="O41" s="8"/>
    </row>
    <row r="42" spans="1:15" x14ac:dyDescent="0.35">
      <c r="O42" s="8"/>
    </row>
    <row r="43" spans="1:15" x14ac:dyDescent="0.35">
      <c r="O43" s="8"/>
    </row>
    <row r="44" spans="1:15" x14ac:dyDescent="0.35">
      <c r="O44" s="8"/>
    </row>
    <row r="45" spans="1:15" x14ac:dyDescent="0.35">
      <c r="O45" s="8"/>
    </row>
    <row r="46" spans="1:15" x14ac:dyDescent="0.35">
      <c r="O46" s="8"/>
    </row>
    <row r="47" spans="1:15" x14ac:dyDescent="0.35">
      <c r="O47" s="8"/>
    </row>
    <row r="48" spans="1:15" x14ac:dyDescent="0.35">
      <c r="O48" s="8"/>
    </row>
    <row r="49" spans="15:15" x14ac:dyDescent="0.35">
      <c r="O49" s="8"/>
    </row>
    <row r="50" spans="15:15" x14ac:dyDescent="0.35">
      <c r="O50" s="8"/>
    </row>
    <row r="51" spans="15:15" x14ac:dyDescent="0.35">
      <c r="O51" s="8"/>
    </row>
    <row r="52" spans="15:15" x14ac:dyDescent="0.35">
      <c r="O52" s="8"/>
    </row>
    <row r="53" spans="15:15" x14ac:dyDescent="0.35">
      <c r="O53" s="8"/>
    </row>
    <row r="54" spans="15:15" x14ac:dyDescent="0.35">
      <c r="O54" s="8"/>
    </row>
    <row r="55" spans="15:15" x14ac:dyDescent="0.35">
      <c r="O55" s="8"/>
    </row>
    <row r="56" spans="15:15" x14ac:dyDescent="0.35">
      <c r="O56" s="8"/>
    </row>
    <row r="57" spans="15:15" x14ac:dyDescent="0.35">
      <c r="O57" s="8"/>
    </row>
    <row r="58" spans="15:15" x14ac:dyDescent="0.35">
      <c r="O58" s="8"/>
    </row>
    <row r="59" spans="15:15" x14ac:dyDescent="0.35">
      <c r="O59" s="8"/>
    </row>
    <row r="60" spans="15:15" x14ac:dyDescent="0.35">
      <c r="O60" s="8"/>
    </row>
    <row r="61" spans="15:15" x14ac:dyDescent="0.35">
      <c r="O61" s="8"/>
    </row>
    <row r="62" spans="15:15" x14ac:dyDescent="0.35">
      <c r="O62" s="8"/>
    </row>
    <row r="63" spans="15:15" x14ac:dyDescent="0.35">
      <c r="O63" s="8"/>
    </row>
    <row r="64" spans="15:15" x14ac:dyDescent="0.35">
      <c r="O64" s="8"/>
    </row>
    <row r="65" spans="15:15" x14ac:dyDescent="0.35">
      <c r="O65" s="8"/>
    </row>
    <row r="66" spans="15:15" x14ac:dyDescent="0.35">
      <c r="O66" s="8"/>
    </row>
    <row r="67" spans="15:15" x14ac:dyDescent="0.35">
      <c r="O67" s="8"/>
    </row>
    <row r="68" spans="15:15" x14ac:dyDescent="0.35">
      <c r="O68" s="8"/>
    </row>
    <row r="69" spans="15:15" x14ac:dyDescent="0.35">
      <c r="O69" s="8"/>
    </row>
    <row r="70" spans="15:15" x14ac:dyDescent="0.35">
      <c r="O70" s="8"/>
    </row>
    <row r="71" spans="15:15" x14ac:dyDescent="0.35">
      <c r="O71" s="8"/>
    </row>
    <row r="72" spans="15:15" x14ac:dyDescent="0.35">
      <c r="O72" s="8"/>
    </row>
    <row r="73" spans="15:15" x14ac:dyDescent="0.35">
      <c r="O73" s="8"/>
    </row>
    <row r="74" spans="15:15" x14ac:dyDescent="0.35">
      <c r="O74" s="8"/>
    </row>
    <row r="75" spans="15:15" x14ac:dyDescent="0.35">
      <c r="O75" s="8"/>
    </row>
    <row r="76" spans="15:15" x14ac:dyDescent="0.35">
      <c r="O76" s="8"/>
    </row>
    <row r="77" spans="15:15" x14ac:dyDescent="0.35">
      <c r="O77" s="8"/>
    </row>
    <row r="78" spans="15:15" x14ac:dyDescent="0.35">
      <c r="O78" s="8"/>
    </row>
    <row r="79" spans="15:15" x14ac:dyDescent="0.35">
      <c r="O79" s="8"/>
    </row>
    <row r="80" spans="15:15" x14ac:dyDescent="0.35">
      <c r="O80" s="8"/>
    </row>
    <row r="81" spans="15:15" x14ac:dyDescent="0.35">
      <c r="O81" s="8"/>
    </row>
    <row r="82" spans="15:15" x14ac:dyDescent="0.35">
      <c r="O82" s="8"/>
    </row>
    <row r="83" spans="15:15" x14ac:dyDescent="0.35">
      <c r="O83" s="8"/>
    </row>
    <row r="84" spans="15:15" x14ac:dyDescent="0.35">
      <c r="O84" s="8"/>
    </row>
    <row r="85" spans="15:15" x14ac:dyDescent="0.35">
      <c r="O85" s="8"/>
    </row>
    <row r="86" spans="15:15" x14ac:dyDescent="0.35">
      <c r="O86" s="8"/>
    </row>
    <row r="87" spans="15:15" x14ac:dyDescent="0.35">
      <c r="O87" s="8"/>
    </row>
    <row r="88" spans="15:15" x14ac:dyDescent="0.35">
      <c r="O88" s="8"/>
    </row>
    <row r="89" spans="15:15" x14ac:dyDescent="0.35">
      <c r="O89" s="8"/>
    </row>
    <row r="90" spans="15:15" x14ac:dyDescent="0.35">
      <c r="O90" s="8"/>
    </row>
    <row r="91" spans="15:15" x14ac:dyDescent="0.35">
      <c r="O91" s="8"/>
    </row>
    <row r="92" spans="15:15" x14ac:dyDescent="0.35">
      <c r="O92" s="8"/>
    </row>
    <row r="93" spans="15:15" x14ac:dyDescent="0.35">
      <c r="O93" s="8"/>
    </row>
    <row r="94" spans="15:15" x14ac:dyDescent="0.35">
      <c r="O94" s="8"/>
    </row>
    <row r="95" spans="15:15" x14ac:dyDescent="0.35">
      <c r="O95" s="8"/>
    </row>
    <row r="96" spans="15:15" x14ac:dyDescent="0.35">
      <c r="O96" s="8"/>
    </row>
    <row r="97" spans="15:15" x14ac:dyDescent="0.35">
      <c r="O97" s="8"/>
    </row>
    <row r="98" spans="15:15" x14ac:dyDescent="0.35">
      <c r="O98" s="8"/>
    </row>
    <row r="99" spans="15:15" x14ac:dyDescent="0.35">
      <c r="O99" s="8"/>
    </row>
    <row r="100" spans="15:15" x14ac:dyDescent="0.35">
      <c r="O100" s="8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1B6-737D-4FD5-A660-435532CCF3C8}">
  <dimension ref="A1:T100"/>
  <sheetViews>
    <sheetView workbookViewId="0">
      <selection activeCell="O1" sqref="O1:O1048576"/>
    </sheetView>
  </sheetViews>
  <sheetFormatPr defaultRowHeight="14.5" x14ac:dyDescent="0.35"/>
  <cols>
    <col min="2" max="2" width="12.6328125" customWidth="1"/>
    <col min="3" max="14" width="10" style="6" bestFit="1" customWidth="1"/>
    <col min="15" max="15" width="8.453125" bestFit="1" customWidth="1"/>
  </cols>
  <sheetData>
    <row r="1" spans="1:20" s="3" customFormat="1" x14ac:dyDescent="0.35">
      <c r="A1" s="3" t="s">
        <v>83</v>
      </c>
      <c r="B1" s="3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/>
      <c r="Q1"/>
      <c r="S1"/>
      <c r="T1"/>
    </row>
    <row r="2" spans="1:20" x14ac:dyDescent="0.35">
      <c r="A2" t="s">
        <v>114</v>
      </c>
      <c r="B2" t="s">
        <v>97</v>
      </c>
      <c r="C2" s="10">
        <v>1967</v>
      </c>
      <c r="D2" s="10">
        <v>45170</v>
      </c>
      <c r="E2" s="10">
        <v>72298</v>
      </c>
      <c r="F2" s="10">
        <v>6758</v>
      </c>
      <c r="G2" s="10">
        <v>96800</v>
      </c>
      <c r="H2" s="10">
        <v>23834</v>
      </c>
      <c r="I2" s="10">
        <v>56220</v>
      </c>
      <c r="J2" s="10">
        <v>24071</v>
      </c>
      <c r="K2" s="10">
        <v>15100</v>
      </c>
      <c r="L2" s="10">
        <v>56077</v>
      </c>
      <c r="M2" s="10">
        <v>95329</v>
      </c>
      <c r="N2" s="10">
        <v>30236</v>
      </c>
      <c r="O2" s="8"/>
    </row>
    <row r="3" spans="1:20" x14ac:dyDescent="0.35">
      <c r="A3" t="s">
        <v>11</v>
      </c>
      <c r="B3" t="s">
        <v>119</v>
      </c>
      <c r="C3" s="10">
        <v>17514</v>
      </c>
      <c r="D3" s="10">
        <v>86441</v>
      </c>
      <c r="E3" s="10">
        <v>42209</v>
      </c>
      <c r="F3" s="10">
        <v>46051</v>
      </c>
      <c r="G3" s="10">
        <v>12005</v>
      </c>
      <c r="H3" s="10">
        <v>90366</v>
      </c>
      <c r="I3" s="10">
        <v>99214</v>
      </c>
      <c r="J3" s="10">
        <v>34262</v>
      </c>
      <c r="K3" s="10">
        <v>70875</v>
      </c>
      <c r="L3" s="10">
        <v>9849</v>
      </c>
      <c r="M3" s="10">
        <v>63014</v>
      </c>
      <c r="N3" s="10">
        <v>61375</v>
      </c>
      <c r="O3" s="8"/>
    </row>
    <row r="4" spans="1:20" x14ac:dyDescent="0.35">
      <c r="A4" t="s">
        <v>118</v>
      </c>
      <c r="B4" t="s">
        <v>119</v>
      </c>
      <c r="C4" s="10">
        <v>89416</v>
      </c>
      <c r="D4" s="10">
        <v>16886</v>
      </c>
      <c r="E4" s="10">
        <v>77480</v>
      </c>
      <c r="F4" s="10">
        <v>67251</v>
      </c>
      <c r="G4" s="10">
        <v>82651</v>
      </c>
      <c r="H4" s="10">
        <v>23575</v>
      </c>
      <c r="I4" s="10">
        <v>35164</v>
      </c>
      <c r="J4" s="10">
        <v>31586</v>
      </c>
      <c r="K4" s="10">
        <v>51185</v>
      </c>
      <c r="L4" s="10">
        <v>12232</v>
      </c>
      <c r="M4" s="10">
        <v>54200</v>
      </c>
      <c r="N4" s="10">
        <v>73612</v>
      </c>
      <c r="O4" s="8"/>
    </row>
    <row r="5" spans="1:20" x14ac:dyDescent="0.35">
      <c r="A5" t="s">
        <v>116</v>
      </c>
      <c r="B5" t="s">
        <v>120</v>
      </c>
      <c r="C5" s="10">
        <v>46867</v>
      </c>
      <c r="D5" s="10">
        <v>39193</v>
      </c>
      <c r="E5" s="10">
        <v>7321</v>
      </c>
      <c r="F5" s="10">
        <v>46072</v>
      </c>
      <c r="G5" s="10">
        <v>14209</v>
      </c>
      <c r="H5" s="10">
        <v>82167</v>
      </c>
      <c r="I5" s="10">
        <v>41795</v>
      </c>
      <c r="J5" s="10">
        <v>72227</v>
      </c>
      <c r="K5" s="10">
        <v>97311</v>
      </c>
      <c r="L5" s="10">
        <v>6948</v>
      </c>
      <c r="M5" s="10">
        <v>23515</v>
      </c>
      <c r="N5" s="10">
        <v>60705</v>
      </c>
      <c r="O5" s="8"/>
    </row>
    <row r="6" spans="1:20" x14ac:dyDescent="0.35">
      <c r="A6" t="s">
        <v>117</v>
      </c>
      <c r="B6" t="s">
        <v>98</v>
      </c>
      <c r="C6" s="10">
        <v>34340</v>
      </c>
      <c r="D6" s="10">
        <v>25856</v>
      </c>
      <c r="E6" s="10">
        <v>6124</v>
      </c>
      <c r="F6" s="10">
        <v>69265</v>
      </c>
      <c r="G6" s="10">
        <v>77276</v>
      </c>
      <c r="H6" s="10">
        <v>81059</v>
      </c>
      <c r="I6" s="10">
        <v>71529</v>
      </c>
      <c r="J6" s="10">
        <v>57024</v>
      </c>
      <c r="K6" s="10">
        <v>38206</v>
      </c>
      <c r="L6" s="10">
        <v>51543</v>
      </c>
      <c r="M6" s="10">
        <v>74224</v>
      </c>
      <c r="N6" s="10">
        <v>77067</v>
      </c>
      <c r="O6" s="8"/>
    </row>
    <row r="7" spans="1:20" x14ac:dyDescent="0.35">
      <c r="A7" t="s">
        <v>116</v>
      </c>
      <c r="B7" t="s">
        <v>119</v>
      </c>
      <c r="C7" s="10">
        <v>51512</v>
      </c>
      <c r="D7" s="10">
        <v>80804</v>
      </c>
      <c r="E7" s="10">
        <v>93527</v>
      </c>
      <c r="F7" s="10">
        <v>8988</v>
      </c>
      <c r="G7" s="10">
        <v>91669</v>
      </c>
      <c r="H7" s="10">
        <v>24742</v>
      </c>
      <c r="I7" s="10">
        <v>18549</v>
      </c>
      <c r="J7" s="10">
        <v>90598</v>
      </c>
      <c r="K7" s="10">
        <v>59165</v>
      </c>
      <c r="L7" s="10">
        <v>57828</v>
      </c>
      <c r="M7" s="10">
        <v>39853</v>
      </c>
      <c r="N7" s="10">
        <v>82596</v>
      </c>
      <c r="O7" s="8"/>
    </row>
    <row r="8" spans="1:20" x14ac:dyDescent="0.35">
      <c r="A8" t="s">
        <v>11</v>
      </c>
      <c r="B8" t="s">
        <v>98</v>
      </c>
      <c r="C8" s="10">
        <v>40294</v>
      </c>
      <c r="D8" s="10">
        <v>31966</v>
      </c>
      <c r="E8" s="10">
        <v>4506</v>
      </c>
      <c r="F8" s="10">
        <v>83899</v>
      </c>
      <c r="G8" s="10">
        <v>10470</v>
      </c>
      <c r="H8" s="10">
        <v>68370</v>
      </c>
      <c r="I8" s="10">
        <v>3069</v>
      </c>
      <c r="J8" s="10">
        <v>56024</v>
      </c>
      <c r="K8" s="10">
        <v>43082</v>
      </c>
      <c r="L8" s="10">
        <v>72813</v>
      </c>
      <c r="M8" s="10">
        <v>47421</v>
      </c>
      <c r="N8" s="10">
        <v>79169</v>
      </c>
      <c r="O8" s="8"/>
    </row>
    <row r="9" spans="1:20" x14ac:dyDescent="0.35">
      <c r="A9" t="s">
        <v>114</v>
      </c>
      <c r="B9" t="s">
        <v>120</v>
      </c>
      <c r="C9" s="10">
        <v>38800</v>
      </c>
      <c r="D9" s="10">
        <v>79645</v>
      </c>
      <c r="E9" s="10">
        <v>67054</v>
      </c>
      <c r="F9" s="10">
        <v>90135</v>
      </c>
      <c r="G9" s="10">
        <v>17571</v>
      </c>
      <c r="H9" s="10">
        <v>40884</v>
      </c>
      <c r="I9" s="10">
        <v>83383</v>
      </c>
      <c r="J9" s="10">
        <v>87642</v>
      </c>
      <c r="K9" s="10">
        <v>49316</v>
      </c>
      <c r="L9" s="10">
        <v>96829</v>
      </c>
      <c r="M9" s="10">
        <v>37293</v>
      </c>
      <c r="N9" s="10">
        <v>98106</v>
      </c>
      <c r="O9" s="8"/>
    </row>
    <row r="10" spans="1:20" x14ac:dyDescent="0.35">
      <c r="A10" t="s">
        <v>116</v>
      </c>
      <c r="B10" t="s">
        <v>98</v>
      </c>
      <c r="C10" s="10">
        <v>32962</v>
      </c>
      <c r="D10" s="10">
        <v>11295</v>
      </c>
      <c r="E10" s="10">
        <v>48509</v>
      </c>
      <c r="F10" s="10">
        <v>67698</v>
      </c>
      <c r="G10" s="10">
        <v>16687</v>
      </c>
      <c r="H10" s="10">
        <v>6529</v>
      </c>
      <c r="I10" s="10">
        <v>23163</v>
      </c>
      <c r="J10" s="10">
        <v>50393</v>
      </c>
      <c r="K10" s="10">
        <v>11128</v>
      </c>
      <c r="L10" s="10">
        <v>20225</v>
      </c>
      <c r="M10" s="10">
        <v>70140</v>
      </c>
      <c r="N10" s="10">
        <v>34503</v>
      </c>
      <c r="O10" s="8"/>
    </row>
    <row r="11" spans="1:20" x14ac:dyDescent="0.35">
      <c r="A11" t="s">
        <v>113</v>
      </c>
      <c r="B11" t="s">
        <v>97</v>
      </c>
      <c r="C11" s="10">
        <v>44986</v>
      </c>
      <c r="D11" s="10">
        <v>38503</v>
      </c>
      <c r="E11" s="10">
        <v>99496</v>
      </c>
      <c r="F11" s="10">
        <v>2557</v>
      </c>
      <c r="G11" s="10">
        <v>91411</v>
      </c>
      <c r="H11" s="10">
        <v>34107</v>
      </c>
      <c r="I11" s="10">
        <v>21838</v>
      </c>
      <c r="J11" s="10">
        <v>52163</v>
      </c>
      <c r="K11" s="10">
        <v>42891</v>
      </c>
      <c r="L11" s="10">
        <v>88871</v>
      </c>
      <c r="M11" s="10">
        <v>83356</v>
      </c>
      <c r="N11" s="10">
        <v>32016</v>
      </c>
      <c r="O11" s="8"/>
    </row>
    <row r="12" spans="1:20" x14ac:dyDescent="0.35">
      <c r="A12" t="s">
        <v>118</v>
      </c>
      <c r="B12" t="s">
        <v>98</v>
      </c>
      <c r="C12" s="10">
        <v>94387</v>
      </c>
      <c r="D12" s="10">
        <v>50965</v>
      </c>
      <c r="E12" s="10">
        <v>6492</v>
      </c>
      <c r="F12" s="10">
        <v>14142</v>
      </c>
      <c r="G12" s="10">
        <v>25296</v>
      </c>
      <c r="H12" s="10">
        <v>58072</v>
      </c>
      <c r="I12" s="10">
        <v>88136</v>
      </c>
      <c r="J12" s="10">
        <v>42438</v>
      </c>
      <c r="K12" s="10">
        <v>71393</v>
      </c>
      <c r="L12" s="10">
        <v>55235</v>
      </c>
      <c r="M12" s="10">
        <v>78388</v>
      </c>
      <c r="N12" s="10">
        <v>32938</v>
      </c>
      <c r="O12" s="8"/>
    </row>
    <row r="13" spans="1:20" x14ac:dyDescent="0.35">
      <c r="A13" t="s">
        <v>118</v>
      </c>
      <c r="B13" t="s">
        <v>97</v>
      </c>
      <c r="C13" s="10">
        <v>65163</v>
      </c>
      <c r="D13" s="10">
        <v>10055</v>
      </c>
      <c r="E13" s="10">
        <v>16779</v>
      </c>
      <c r="F13" s="10">
        <v>15509</v>
      </c>
      <c r="G13" s="10">
        <v>99542</v>
      </c>
      <c r="H13" s="10">
        <v>75868</v>
      </c>
      <c r="I13" s="10">
        <v>42155</v>
      </c>
      <c r="J13" s="10">
        <v>81621</v>
      </c>
      <c r="K13" s="10">
        <v>79595</v>
      </c>
      <c r="L13" s="10">
        <v>21390</v>
      </c>
      <c r="M13" s="10">
        <v>21301</v>
      </c>
      <c r="N13" s="10">
        <v>27469</v>
      </c>
      <c r="O13" s="8"/>
    </row>
    <row r="14" spans="1:20" x14ac:dyDescent="0.35">
      <c r="A14" t="s">
        <v>118</v>
      </c>
      <c r="B14" t="s">
        <v>120</v>
      </c>
      <c r="C14" s="10">
        <v>67033</v>
      </c>
      <c r="D14" s="10">
        <v>50986</v>
      </c>
      <c r="E14" s="10">
        <v>59157</v>
      </c>
      <c r="F14" s="10">
        <v>7787</v>
      </c>
      <c r="G14" s="10">
        <v>70198</v>
      </c>
      <c r="H14" s="10">
        <v>8138</v>
      </c>
      <c r="I14" s="10">
        <v>61036</v>
      </c>
      <c r="J14" s="10">
        <v>67226</v>
      </c>
      <c r="K14" s="10">
        <v>80566</v>
      </c>
      <c r="L14" s="10">
        <v>39117</v>
      </c>
      <c r="M14" s="10">
        <v>94482</v>
      </c>
      <c r="N14" s="10">
        <v>16865</v>
      </c>
      <c r="O14" s="8"/>
    </row>
    <row r="15" spans="1:20" x14ac:dyDescent="0.35">
      <c r="A15" t="s">
        <v>11</v>
      </c>
      <c r="B15" t="s">
        <v>120</v>
      </c>
      <c r="C15" s="10">
        <v>19014</v>
      </c>
      <c r="D15" s="10">
        <v>36298</v>
      </c>
      <c r="E15" s="10">
        <v>43586</v>
      </c>
      <c r="F15" s="10">
        <v>48308</v>
      </c>
      <c r="G15" s="10">
        <v>24928</v>
      </c>
      <c r="H15" s="10">
        <v>9723</v>
      </c>
      <c r="I15" s="10">
        <v>44787</v>
      </c>
      <c r="J15" s="10">
        <v>32107</v>
      </c>
      <c r="K15" s="10">
        <v>35848</v>
      </c>
      <c r="L15" s="10">
        <v>19944</v>
      </c>
      <c r="M15" s="10">
        <v>89699</v>
      </c>
      <c r="N15" s="10">
        <v>98358</v>
      </c>
      <c r="O15" s="8"/>
    </row>
    <row r="16" spans="1:20" x14ac:dyDescent="0.35">
      <c r="A16" t="s">
        <v>115</v>
      </c>
      <c r="B16" t="s">
        <v>120</v>
      </c>
      <c r="C16" s="10">
        <v>40341</v>
      </c>
      <c r="D16" s="10">
        <v>3414</v>
      </c>
      <c r="E16" s="10">
        <v>13423</v>
      </c>
      <c r="F16" s="10">
        <v>98929</v>
      </c>
      <c r="G16" s="10">
        <v>45266</v>
      </c>
      <c r="H16" s="10">
        <v>61131</v>
      </c>
      <c r="I16" s="10">
        <v>77771</v>
      </c>
      <c r="J16" s="10">
        <v>89238</v>
      </c>
      <c r="K16" s="10">
        <v>49076</v>
      </c>
      <c r="L16" s="10">
        <v>85693</v>
      </c>
      <c r="M16" s="10">
        <v>45320</v>
      </c>
      <c r="N16" s="10">
        <v>79905</v>
      </c>
      <c r="O16" s="8"/>
    </row>
    <row r="17" spans="1:15" x14ac:dyDescent="0.35">
      <c r="A17" t="s">
        <v>117</v>
      </c>
      <c r="B17" t="s">
        <v>97</v>
      </c>
      <c r="C17" s="10">
        <v>97292</v>
      </c>
      <c r="D17" s="10">
        <v>49531</v>
      </c>
      <c r="E17" s="10">
        <v>31992</v>
      </c>
      <c r="F17" s="10">
        <v>49813</v>
      </c>
      <c r="G17" s="10">
        <v>83134</v>
      </c>
      <c r="H17" s="10">
        <v>83398</v>
      </c>
      <c r="I17" s="10">
        <v>94184</v>
      </c>
      <c r="J17" s="10">
        <v>94291</v>
      </c>
      <c r="K17" s="10">
        <v>25244</v>
      </c>
      <c r="L17" s="10">
        <v>64994</v>
      </c>
      <c r="M17" s="10">
        <v>44351</v>
      </c>
      <c r="N17" s="10">
        <v>32665</v>
      </c>
      <c r="O17" s="8"/>
    </row>
    <row r="18" spans="1:15" x14ac:dyDescent="0.35">
      <c r="A18" t="s">
        <v>115</v>
      </c>
      <c r="B18" t="s">
        <v>98</v>
      </c>
      <c r="C18" s="10">
        <v>63551</v>
      </c>
      <c r="D18">
        <v>353</v>
      </c>
      <c r="E18" s="10">
        <v>79834</v>
      </c>
      <c r="F18" s="10">
        <v>72196</v>
      </c>
      <c r="G18" s="10">
        <v>52773</v>
      </c>
      <c r="H18" s="10">
        <v>83092</v>
      </c>
      <c r="I18" s="10">
        <v>4698</v>
      </c>
      <c r="J18" s="10">
        <v>39714</v>
      </c>
      <c r="K18" s="10">
        <v>25989</v>
      </c>
      <c r="L18" s="10">
        <v>18849</v>
      </c>
      <c r="M18" s="10">
        <v>43982</v>
      </c>
      <c r="N18" s="10">
        <v>18532</v>
      </c>
      <c r="O18" s="8"/>
    </row>
    <row r="19" spans="1:15" x14ac:dyDescent="0.35">
      <c r="A19" t="s">
        <v>113</v>
      </c>
      <c r="B19" t="s">
        <v>120</v>
      </c>
      <c r="C19" s="10">
        <v>78568</v>
      </c>
      <c r="D19" s="10">
        <v>6918</v>
      </c>
      <c r="E19" s="10">
        <v>68421</v>
      </c>
      <c r="F19" s="10">
        <v>14904</v>
      </c>
      <c r="G19" s="10">
        <v>54619</v>
      </c>
      <c r="H19" s="10">
        <v>79637</v>
      </c>
      <c r="I19" s="10">
        <v>21862</v>
      </c>
      <c r="J19" s="10">
        <v>33997</v>
      </c>
      <c r="K19" s="10">
        <v>92472</v>
      </c>
      <c r="L19" s="10">
        <v>82592</v>
      </c>
      <c r="M19" s="10">
        <v>68521</v>
      </c>
      <c r="N19" s="10">
        <v>13082</v>
      </c>
      <c r="O19" s="8"/>
    </row>
    <row r="20" spans="1:15" x14ac:dyDescent="0.35">
      <c r="A20" t="s">
        <v>115</v>
      </c>
      <c r="B20" t="s">
        <v>97</v>
      </c>
      <c r="C20" s="10">
        <v>71628</v>
      </c>
      <c r="D20" s="10">
        <v>72777</v>
      </c>
      <c r="E20" s="10">
        <v>40370</v>
      </c>
      <c r="F20" s="10">
        <v>37175</v>
      </c>
      <c r="G20" s="10">
        <v>31696</v>
      </c>
      <c r="H20" s="10">
        <v>56035</v>
      </c>
      <c r="I20" s="10">
        <v>90271</v>
      </c>
      <c r="J20" s="10">
        <v>79775</v>
      </c>
      <c r="K20" s="10">
        <v>58232</v>
      </c>
      <c r="L20" s="10">
        <v>29684</v>
      </c>
      <c r="M20" s="10">
        <v>54389</v>
      </c>
      <c r="N20" s="10">
        <v>11931</v>
      </c>
      <c r="O20" s="8"/>
    </row>
    <row r="21" spans="1:15" x14ac:dyDescent="0.35">
      <c r="A21" t="s">
        <v>117</v>
      </c>
      <c r="B21" t="s">
        <v>120</v>
      </c>
      <c r="C21" s="10">
        <v>6117</v>
      </c>
      <c r="D21" s="10">
        <v>20075</v>
      </c>
      <c r="E21" s="10">
        <v>49307</v>
      </c>
      <c r="F21" s="10">
        <v>81131</v>
      </c>
      <c r="G21" s="10">
        <v>7639</v>
      </c>
      <c r="H21" s="10">
        <v>36568</v>
      </c>
      <c r="I21" s="10">
        <v>82818</v>
      </c>
      <c r="J21" s="10">
        <v>84147</v>
      </c>
      <c r="K21" s="10">
        <v>16175</v>
      </c>
      <c r="L21" s="10">
        <v>67557</v>
      </c>
      <c r="M21" s="10">
        <v>1729</v>
      </c>
      <c r="N21" s="10">
        <v>95125</v>
      </c>
      <c r="O21" s="8"/>
    </row>
    <row r="22" spans="1:15" x14ac:dyDescent="0.35">
      <c r="A22" t="s">
        <v>116</v>
      </c>
      <c r="B22" t="s">
        <v>97</v>
      </c>
      <c r="C22" s="10">
        <v>4962</v>
      </c>
      <c r="D22" s="10">
        <v>43287</v>
      </c>
      <c r="E22" s="10">
        <v>39213</v>
      </c>
      <c r="F22" s="10">
        <v>86493</v>
      </c>
      <c r="G22" s="10">
        <v>94913</v>
      </c>
      <c r="H22" s="10">
        <v>65263</v>
      </c>
      <c r="I22" s="10">
        <v>26375</v>
      </c>
      <c r="J22" s="10">
        <v>79762</v>
      </c>
      <c r="K22" s="10">
        <v>20522</v>
      </c>
      <c r="L22" s="10">
        <v>61022</v>
      </c>
      <c r="M22" s="10">
        <v>40881</v>
      </c>
      <c r="N22" s="10">
        <v>75314</v>
      </c>
      <c r="O22" s="8"/>
    </row>
    <row r="23" spans="1:15" x14ac:dyDescent="0.35">
      <c r="A23" t="s">
        <v>11</v>
      </c>
      <c r="B23" t="s">
        <v>97</v>
      </c>
      <c r="C23" s="10">
        <v>18977</v>
      </c>
      <c r="D23" s="10">
        <v>82985</v>
      </c>
      <c r="E23">
        <v>736</v>
      </c>
      <c r="F23" s="10">
        <v>84854</v>
      </c>
      <c r="G23" s="10">
        <v>83720</v>
      </c>
      <c r="H23" s="10">
        <v>83428</v>
      </c>
      <c r="I23" s="10">
        <v>72714</v>
      </c>
      <c r="J23" s="10">
        <v>68480</v>
      </c>
      <c r="K23" s="10">
        <v>48704</v>
      </c>
      <c r="L23" s="10">
        <v>61096</v>
      </c>
      <c r="M23" s="10">
        <v>56811</v>
      </c>
      <c r="N23" s="10">
        <v>59550</v>
      </c>
      <c r="O23" s="8"/>
    </row>
    <row r="24" spans="1:15" x14ac:dyDescent="0.35">
      <c r="A24" t="s">
        <v>115</v>
      </c>
      <c r="B24" t="s">
        <v>119</v>
      </c>
      <c r="C24" s="10">
        <v>46809</v>
      </c>
      <c r="D24" s="10">
        <v>15791</v>
      </c>
      <c r="E24" s="10">
        <v>42852</v>
      </c>
      <c r="F24" s="10">
        <v>17978</v>
      </c>
      <c r="G24" s="10">
        <v>47721</v>
      </c>
      <c r="H24" s="10">
        <v>15551</v>
      </c>
      <c r="I24" s="10">
        <v>77403</v>
      </c>
      <c r="J24" s="10">
        <v>52256</v>
      </c>
      <c r="K24" s="10">
        <v>24939</v>
      </c>
      <c r="L24" s="10">
        <v>13037</v>
      </c>
      <c r="M24" s="10">
        <v>69727</v>
      </c>
      <c r="N24" s="10">
        <v>39365</v>
      </c>
      <c r="O24" s="8"/>
    </row>
    <row r="25" spans="1:15" x14ac:dyDescent="0.35">
      <c r="A25" t="s">
        <v>113</v>
      </c>
      <c r="B25" t="s">
        <v>98</v>
      </c>
      <c r="C25" s="10">
        <v>56596</v>
      </c>
      <c r="D25" s="10">
        <v>70812</v>
      </c>
      <c r="E25" s="10">
        <v>18500</v>
      </c>
      <c r="F25" s="10">
        <v>39804</v>
      </c>
      <c r="G25" s="10">
        <v>40514</v>
      </c>
      <c r="H25" s="10">
        <v>76487</v>
      </c>
      <c r="I25" s="10">
        <v>14079</v>
      </c>
      <c r="J25" s="10">
        <v>29545</v>
      </c>
      <c r="K25" s="10">
        <v>54200</v>
      </c>
      <c r="L25" s="10">
        <v>21489</v>
      </c>
      <c r="M25" s="10">
        <v>69592</v>
      </c>
      <c r="N25" s="10">
        <v>1152</v>
      </c>
      <c r="O25" s="8"/>
    </row>
    <row r="26" spans="1:15" x14ac:dyDescent="0.35">
      <c r="A26" t="s">
        <v>114</v>
      </c>
      <c r="B26" t="s">
        <v>119</v>
      </c>
      <c r="C26" s="10">
        <v>71363</v>
      </c>
      <c r="D26" s="10">
        <v>94500</v>
      </c>
      <c r="E26" s="10">
        <v>93379</v>
      </c>
      <c r="F26" s="10">
        <v>59648</v>
      </c>
      <c r="G26" s="10">
        <v>7835</v>
      </c>
      <c r="H26" s="10">
        <v>66973</v>
      </c>
      <c r="I26" s="10">
        <v>8832</v>
      </c>
      <c r="J26" s="10">
        <v>61338</v>
      </c>
      <c r="K26" s="10">
        <v>55052</v>
      </c>
      <c r="L26" s="10">
        <v>51692</v>
      </c>
      <c r="M26" s="10">
        <v>66846</v>
      </c>
      <c r="N26" s="10">
        <v>48873</v>
      </c>
      <c r="O26" s="8"/>
    </row>
    <row r="27" spans="1:15" x14ac:dyDescent="0.35">
      <c r="A27" t="s">
        <v>113</v>
      </c>
      <c r="B27" t="s">
        <v>119</v>
      </c>
      <c r="C27" s="10">
        <v>77611</v>
      </c>
      <c r="D27" s="10">
        <v>51419</v>
      </c>
      <c r="E27" s="10">
        <v>40868</v>
      </c>
      <c r="F27" s="10">
        <v>1143</v>
      </c>
      <c r="G27" s="10">
        <v>64394</v>
      </c>
      <c r="H27" s="10">
        <v>19084</v>
      </c>
      <c r="I27" s="10">
        <v>4594</v>
      </c>
      <c r="J27" s="10">
        <v>28705</v>
      </c>
      <c r="K27" s="10">
        <v>71930</v>
      </c>
      <c r="L27" s="10">
        <v>79238</v>
      </c>
      <c r="M27" s="10">
        <v>63454</v>
      </c>
      <c r="N27" s="10">
        <v>61534</v>
      </c>
      <c r="O27" s="8"/>
    </row>
    <row r="28" spans="1:15" x14ac:dyDescent="0.35">
      <c r="A28" t="s">
        <v>117</v>
      </c>
      <c r="B28" t="s">
        <v>119</v>
      </c>
      <c r="C28" s="10">
        <v>80116</v>
      </c>
      <c r="D28" s="10">
        <v>11740</v>
      </c>
      <c r="E28" s="10">
        <v>47807</v>
      </c>
      <c r="F28" s="10">
        <v>43990</v>
      </c>
      <c r="G28" s="10">
        <v>77790</v>
      </c>
      <c r="H28" s="10">
        <v>20704</v>
      </c>
      <c r="I28" s="10">
        <v>39521</v>
      </c>
      <c r="J28" s="10">
        <v>10486</v>
      </c>
      <c r="K28" s="10">
        <v>51166</v>
      </c>
      <c r="L28" s="10">
        <v>21500</v>
      </c>
      <c r="M28" s="10">
        <v>61646</v>
      </c>
      <c r="N28" s="10">
        <v>49427</v>
      </c>
      <c r="O28" s="8"/>
    </row>
    <row r="29" spans="1:15" x14ac:dyDescent="0.35">
      <c r="O29" s="8"/>
    </row>
    <row r="30" spans="1:15" x14ac:dyDescent="0.35">
      <c r="O30" s="8"/>
    </row>
    <row r="31" spans="1:15" x14ac:dyDescent="0.35">
      <c r="O31" s="8"/>
    </row>
    <row r="32" spans="1:15" x14ac:dyDescent="0.35">
      <c r="O32" s="8"/>
    </row>
    <row r="33" spans="15:15" x14ac:dyDescent="0.35">
      <c r="O33" s="8"/>
    </row>
    <row r="34" spans="15:15" x14ac:dyDescent="0.35">
      <c r="O34" s="8"/>
    </row>
    <row r="35" spans="15:15" x14ac:dyDescent="0.35">
      <c r="O35" s="8"/>
    </row>
    <row r="36" spans="15:15" x14ac:dyDescent="0.35">
      <c r="O36" s="8"/>
    </row>
    <row r="37" spans="15:15" x14ac:dyDescent="0.35">
      <c r="O37" s="8"/>
    </row>
    <row r="38" spans="15:15" x14ac:dyDescent="0.35">
      <c r="O38" s="8"/>
    </row>
    <row r="39" spans="15:15" x14ac:dyDescent="0.35">
      <c r="O39" s="8"/>
    </row>
    <row r="40" spans="15:15" x14ac:dyDescent="0.35">
      <c r="O40" s="8"/>
    </row>
    <row r="41" spans="15:15" x14ac:dyDescent="0.35">
      <c r="O41" s="8"/>
    </row>
    <row r="42" spans="15:15" x14ac:dyDescent="0.35">
      <c r="O42" s="8"/>
    </row>
    <row r="43" spans="15:15" x14ac:dyDescent="0.35">
      <c r="O43" s="8"/>
    </row>
    <row r="44" spans="15:15" x14ac:dyDescent="0.35">
      <c r="O44" s="8"/>
    </row>
    <row r="45" spans="15:15" x14ac:dyDescent="0.35">
      <c r="O45" s="8"/>
    </row>
    <row r="46" spans="15:15" x14ac:dyDescent="0.35">
      <c r="O46" s="8"/>
    </row>
    <row r="47" spans="15:15" x14ac:dyDescent="0.35">
      <c r="O47" s="8"/>
    </row>
    <row r="48" spans="15:15" x14ac:dyDescent="0.35">
      <c r="O48" s="8"/>
    </row>
    <row r="49" spans="15:15" x14ac:dyDescent="0.35">
      <c r="O49" s="8"/>
    </row>
    <row r="50" spans="15:15" x14ac:dyDescent="0.35">
      <c r="O50" s="8"/>
    </row>
    <row r="51" spans="15:15" x14ac:dyDescent="0.35">
      <c r="O51" s="8"/>
    </row>
    <row r="52" spans="15:15" x14ac:dyDescent="0.35">
      <c r="O52" s="8"/>
    </row>
    <row r="53" spans="15:15" x14ac:dyDescent="0.35">
      <c r="O53" s="8"/>
    </row>
    <row r="54" spans="15:15" x14ac:dyDescent="0.35">
      <c r="O54" s="8"/>
    </row>
    <row r="55" spans="15:15" x14ac:dyDescent="0.35">
      <c r="O55" s="8"/>
    </row>
    <row r="56" spans="15:15" x14ac:dyDescent="0.35">
      <c r="O56" s="8"/>
    </row>
    <row r="57" spans="15:15" x14ac:dyDescent="0.35">
      <c r="O57" s="8"/>
    </row>
    <row r="58" spans="15:15" x14ac:dyDescent="0.35">
      <c r="O58" s="8"/>
    </row>
    <row r="59" spans="15:15" x14ac:dyDescent="0.35">
      <c r="O59" s="8"/>
    </row>
    <row r="60" spans="15:15" x14ac:dyDescent="0.35">
      <c r="O60" s="8"/>
    </row>
    <row r="61" spans="15:15" x14ac:dyDescent="0.35">
      <c r="O61" s="8"/>
    </row>
    <row r="62" spans="15:15" x14ac:dyDescent="0.35">
      <c r="O62" s="8"/>
    </row>
    <row r="63" spans="15:15" x14ac:dyDescent="0.35">
      <c r="O63" s="8"/>
    </row>
    <row r="64" spans="15:15" x14ac:dyDescent="0.35">
      <c r="O64" s="8"/>
    </row>
    <row r="65" spans="15:15" x14ac:dyDescent="0.35">
      <c r="O65" s="8"/>
    </row>
    <row r="66" spans="15:15" x14ac:dyDescent="0.35">
      <c r="O66" s="8"/>
    </row>
    <row r="67" spans="15:15" x14ac:dyDescent="0.35">
      <c r="O67" s="8"/>
    </row>
    <row r="68" spans="15:15" x14ac:dyDescent="0.35">
      <c r="O68" s="8"/>
    </row>
    <row r="69" spans="15:15" x14ac:dyDescent="0.35">
      <c r="O69" s="8"/>
    </row>
    <row r="70" spans="15:15" x14ac:dyDescent="0.35">
      <c r="O70" s="8"/>
    </row>
    <row r="71" spans="15:15" x14ac:dyDescent="0.35">
      <c r="O71" s="8"/>
    </row>
    <row r="72" spans="15:15" x14ac:dyDescent="0.35">
      <c r="O72" s="8"/>
    </row>
    <row r="73" spans="15:15" x14ac:dyDescent="0.35">
      <c r="O73" s="8"/>
    </row>
    <row r="74" spans="15:15" x14ac:dyDescent="0.35">
      <c r="O74" s="8"/>
    </row>
    <row r="75" spans="15:15" x14ac:dyDescent="0.35">
      <c r="O75" s="8"/>
    </row>
    <row r="76" spans="15:15" x14ac:dyDescent="0.35">
      <c r="O76" s="8"/>
    </row>
    <row r="77" spans="15:15" x14ac:dyDescent="0.35">
      <c r="O77" s="8"/>
    </row>
    <row r="78" spans="15:15" x14ac:dyDescent="0.35">
      <c r="O78" s="8"/>
    </row>
    <row r="79" spans="15:15" x14ac:dyDescent="0.35">
      <c r="O79" s="8"/>
    </row>
    <row r="80" spans="15:15" x14ac:dyDescent="0.35">
      <c r="O80" s="8"/>
    </row>
    <row r="81" spans="15:15" x14ac:dyDescent="0.35">
      <c r="O81" s="8"/>
    </row>
    <row r="82" spans="15:15" x14ac:dyDescent="0.35">
      <c r="O82" s="8"/>
    </row>
    <row r="83" spans="15:15" x14ac:dyDescent="0.35">
      <c r="O83" s="8"/>
    </row>
    <row r="84" spans="15:15" x14ac:dyDescent="0.35">
      <c r="O84" s="8"/>
    </row>
    <row r="85" spans="15:15" x14ac:dyDescent="0.35">
      <c r="O85" s="8"/>
    </row>
    <row r="86" spans="15:15" x14ac:dyDescent="0.35">
      <c r="O86" s="8"/>
    </row>
    <row r="87" spans="15:15" x14ac:dyDescent="0.35">
      <c r="O87" s="8"/>
    </row>
    <row r="88" spans="15:15" x14ac:dyDescent="0.35">
      <c r="O88" s="8"/>
    </row>
    <row r="89" spans="15:15" x14ac:dyDescent="0.35">
      <c r="O89" s="8"/>
    </row>
    <row r="90" spans="15:15" x14ac:dyDescent="0.35">
      <c r="O90" s="8"/>
    </row>
    <row r="91" spans="15:15" x14ac:dyDescent="0.35">
      <c r="O91" s="8"/>
    </row>
    <row r="92" spans="15:15" x14ac:dyDescent="0.35">
      <c r="O92" s="8"/>
    </row>
    <row r="93" spans="15:15" x14ac:dyDescent="0.35">
      <c r="O93" s="8"/>
    </row>
    <row r="94" spans="15:15" x14ac:dyDescent="0.35">
      <c r="O94" s="8"/>
    </row>
    <row r="95" spans="15:15" x14ac:dyDescent="0.35">
      <c r="O95" s="8"/>
    </row>
    <row r="96" spans="15:15" x14ac:dyDescent="0.35">
      <c r="O96" s="8"/>
    </row>
    <row r="97" spans="15:15" x14ac:dyDescent="0.35">
      <c r="O97" s="8"/>
    </row>
    <row r="98" spans="15:15" x14ac:dyDescent="0.35">
      <c r="O98" s="8"/>
    </row>
    <row r="99" spans="15:15" x14ac:dyDescent="0.35">
      <c r="O99" s="8"/>
    </row>
    <row r="100" spans="15:15" x14ac:dyDescent="0.35">
      <c r="O1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6275-31A3-499D-AF8E-7CF3633A747C}">
  <dimension ref="A1:T100"/>
  <sheetViews>
    <sheetView workbookViewId="0">
      <selection activeCell="O1" sqref="O1:O1048576"/>
    </sheetView>
  </sheetViews>
  <sheetFormatPr defaultRowHeight="14.5" x14ac:dyDescent="0.35"/>
  <cols>
    <col min="2" max="2" width="12.6328125" customWidth="1"/>
    <col min="3" max="14" width="10" style="6" bestFit="1" customWidth="1"/>
    <col min="15" max="15" width="8.453125" bestFit="1" customWidth="1"/>
  </cols>
  <sheetData>
    <row r="1" spans="1:20" s="3" customFormat="1" x14ac:dyDescent="0.35">
      <c r="A1" s="3" t="s">
        <v>83</v>
      </c>
      <c r="B1" s="3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/>
      <c r="Q1"/>
      <c r="S1"/>
      <c r="T1"/>
    </row>
    <row r="2" spans="1:20" x14ac:dyDescent="0.35">
      <c r="A2" t="s">
        <v>118</v>
      </c>
      <c r="B2" t="s">
        <v>97</v>
      </c>
      <c r="C2" s="10">
        <v>86668</v>
      </c>
      <c r="D2" s="10">
        <v>53886</v>
      </c>
      <c r="E2" s="10">
        <v>57958</v>
      </c>
      <c r="F2" s="10">
        <v>12816</v>
      </c>
      <c r="G2" s="10">
        <v>16718</v>
      </c>
      <c r="H2" s="10">
        <v>98539</v>
      </c>
      <c r="I2" s="10">
        <v>7259</v>
      </c>
      <c r="J2" s="10">
        <v>17400</v>
      </c>
      <c r="K2" s="10">
        <v>28281</v>
      </c>
      <c r="L2" s="10">
        <v>69741</v>
      </c>
      <c r="M2" s="10">
        <v>85941</v>
      </c>
      <c r="N2" s="10">
        <v>87535</v>
      </c>
      <c r="O2" s="8"/>
    </row>
    <row r="3" spans="1:20" x14ac:dyDescent="0.35">
      <c r="A3" t="s">
        <v>116</v>
      </c>
      <c r="B3" t="s">
        <v>97</v>
      </c>
      <c r="C3" s="10">
        <v>86724</v>
      </c>
      <c r="D3" s="10">
        <v>19027</v>
      </c>
      <c r="E3" s="10">
        <v>8960</v>
      </c>
      <c r="F3" s="10">
        <v>70952</v>
      </c>
      <c r="G3" s="10">
        <v>96431</v>
      </c>
      <c r="H3" s="10">
        <v>74451</v>
      </c>
      <c r="I3" s="10">
        <v>13212</v>
      </c>
      <c r="J3" s="10">
        <v>79721</v>
      </c>
      <c r="K3" s="10">
        <v>21558</v>
      </c>
      <c r="L3" s="10">
        <v>10329</v>
      </c>
      <c r="M3" s="10">
        <v>38972</v>
      </c>
      <c r="N3" s="10">
        <v>22230</v>
      </c>
      <c r="O3" s="8"/>
    </row>
    <row r="4" spans="1:20" x14ac:dyDescent="0.35">
      <c r="A4" t="s">
        <v>11</v>
      </c>
      <c r="B4" t="s">
        <v>97</v>
      </c>
      <c r="C4" s="10">
        <v>23769</v>
      </c>
      <c r="D4" s="10">
        <v>11768</v>
      </c>
      <c r="E4" s="10">
        <v>92636</v>
      </c>
      <c r="F4" s="10">
        <v>97495</v>
      </c>
      <c r="G4" s="10">
        <v>62683</v>
      </c>
      <c r="H4" s="10">
        <v>1110</v>
      </c>
      <c r="I4" s="10">
        <v>40640</v>
      </c>
      <c r="J4" s="10">
        <v>7503</v>
      </c>
      <c r="K4" s="10">
        <v>31313</v>
      </c>
      <c r="L4" s="10">
        <v>1392</v>
      </c>
      <c r="M4" s="10">
        <v>15905</v>
      </c>
      <c r="N4" s="10">
        <v>73944</v>
      </c>
      <c r="O4" s="8"/>
    </row>
    <row r="5" spans="1:20" x14ac:dyDescent="0.35">
      <c r="A5" t="s">
        <v>118</v>
      </c>
      <c r="B5" t="s">
        <v>98</v>
      </c>
      <c r="C5" s="10">
        <v>92521</v>
      </c>
      <c r="D5" s="10">
        <v>89792</v>
      </c>
      <c r="E5">
        <v>866</v>
      </c>
      <c r="F5" s="10">
        <v>33570</v>
      </c>
      <c r="G5" s="10">
        <v>86750</v>
      </c>
      <c r="H5" s="10">
        <v>29535</v>
      </c>
      <c r="I5" s="10">
        <v>9250</v>
      </c>
      <c r="J5" s="10">
        <v>40344</v>
      </c>
      <c r="K5" s="10">
        <v>87717</v>
      </c>
      <c r="L5" s="10">
        <v>19757</v>
      </c>
      <c r="M5" s="10">
        <v>98512</v>
      </c>
      <c r="N5" s="10">
        <v>28437</v>
      </c>
      <c r="O5" s="8"/>
    </row>
    <row r="6" spans="1:20" x14ac:dyDescent="0.35">
      <c r="A6" t="s">
        <v>118</v>
      </c>
      <c r="B6" t="s">
        <v>119</v>
      </c>
      <c r="C6" s="10">
        <v>96531</v>
      </c>
      <c r="D6" s="10">
        <v>72509</v>
      </c>
      <c r="E6" s="10">
        <v>5501</v>
      </c>
      <c r="F6" s="10">
        <v>44975</v>
      </c>
      <c r="G6" s="10">
        <v>40336</v>
      </c>
      <c r="H6" s="10">
        <v>20414</v>
      </c>
      <c r="I6" s="10">
        <v>76175</v>
      </c>
      <c r="J6" s="10">
        <v>81807</v>
      </c>
      <c r="K6" s="10">
        <v>80676</v>
      </c>
      <c r="L6" s="10">
        <v>80175</v>
      </c>
      <c r="M6">
        <v>817</v>
      </c>
      <c r="N6" s="10">
        <v>91983</v>
      </c>
      <c r="O6" s="8"/>
    </row>
    <row r="7" spans="1:20" x14ac:dyDescent="0.35">
      <c r="A7" t="s">
        <v>117</v>
      </c>
      <c r="B7" t="s">
        <v>119</v>
      </c>
      <c r="C7" s="10">
        <v>27071</v>
      </c>
      <c r="D7" s="10">
        <v>27158</v>
      </c>
      <c r="E7" s="10">
        <v>81287</v>
      </c>
      <c r="F7" s="10">
        <v>52572</v>
      </c>
      <c r="G7" s="10">
        <v>36692</v>
      </c>
      <c r="H7" s="10">
        <v>64136</v>
      </c>
      <c r="I7" s="10">
        <v>15661</v>
      </c>
      <c r="J7" s="10">
        <v>76738</v>
      </c>
      <c r="K7" s="10">
        <v>72365</v>
      </c>
      <c r="L7" s="10">
        <v>85212</v>
      </c>
      <c r="M7" s="10">
        <v>62780</v>
      </c>
      <c r="N7" s="10">
        <v>40155</v>
      </c>
      <c r="O7" s="8"/>
    </row>
    <row r="8" spans="1:20" x14ac:dyDescent="0.35">
      <c r="A8" t="s">
        <v>11</v>
      </c>
      <c r="B8" t="s">
        <v>119</v>
      </c>
      <c r="C8" s="10">
        <v>43699</v>
      </c>
      <c r="D8" s="10">
        <v>22255</v>
      </c>
      <c r="E8" s="10">
        <v>36994</v>
      </c>
      <c r="F8" s="10">
        <v>43847</v>
      </c>
      <c r="G8" s="10">
        <v>34776</v>
      </c>
      <c r="H8" s="10">
        <v>49779</v>
      </c>
      <c r="I8" s="10">
        <v>63079</v>
      </c>
      <c r="J8" s="10">
        <v>77418</v>
      </c>
      <c r="K8" s="10">
        <v>25161</v>
      </c>
      <c r="L8" s="10">
        <v>90840</v>
      </c>
      <c r="M8" s="10">
        <v>37173</v>
      </c>
      <c r="N8" s="10">
        <v>84142</v>
      </c>
      <c r="O8" s="8"/>
    </row>
    <row r="9" spans="1:20" x14ac:dyDescent="0.35">
      <c r="A9" t="s">
        <v>117</v>
      </c>
      <c r="B9" t="s">
        <v>98</v>
      </c>
      <c r="C9" s="10">
        <v>60573</v>
      </c>
      <c r="D9" s="10">
        <v>48884</v>
      </c>
      <c r="E9" s="10">
        <v>3963</v>
      </c>
      <c r="F9" s="10">
        <v>65576</v>
      </c>
      <c r="G9" s="10">
        <v>7898</v>
      </c>
      <c r="H9" s="10">
        <v>40048</v>
      </c>
      <c r="I9" s="10">
        <v>53819</v>
      </c>
      <c r="J9" s="10">
        <v>57555</v>
      </c>
      <c r="K9" s="10">
        <v>93091</v>
      </c>
      <c r="L9" s="10">
        <v>76652</v>
      </c>
      <c r="M9" s="10">
        <v>72274</v>
      </c>
      <c r="N9" s="10">
        <v>79633</v>
      </c>
      <c r="O9" s="8"/>
    </row>
    <row r="10" spans="1:20" x14ac:dyDescent="0.35">
      <c r="A10" t="s">
        <v>117</v>
      </c>
      <c r="B10" t="s">
        <v>97</v>
      </c>
      <c r="C10" s="10">
        <v>69159</v>
      </c>
      <c r="D10" s="10">
        <v>57907</v>
      </c>
      <c r="E10" s="10">
        <v>39444</v>
      </c>
      <c r="F10" s="10">
        <v>91246</v>
      </c>
      <c r="G10" s="10">
        <v>5674</v>
      </c>
      <c r="H10" s="10">
        <v>10899</v>
      </c>
      <c r="I10" s="10">
        <v>84163</v>
      </c>
      <c r="J10" s="10">
        <v>26820</v>
      </c>
      <c r="K10" s="10">
        <v>50748</v>
      </c>
      <c r="L10">
        <v>753</v>
      </c>
      <c r="M10" s="10">
        <v>22087</v>
      </c>
      <c r="N10" s="10">
        <v>74365</v>
      </c>
      <c r="O10" s="8"/>
    </row>
    <row r="11" spans="1:20" x14ac:dyDescent="0.35">
      <c r="A11" t="s">
        <v>116</v>
      </c>
      <c r="B11" t="s">
        <v>98</v>
      </c>
      <c r="C11" s="10">
        <v>86096</v>
      </c>
      <c r="D11" s="10">
        <v>63697</v>
      </c>
      <c r="E11" s="10">
        <v>84931</v>
      </c>
      <c r="F11" s="10">
        <v>44311</v>
      </c>
      <c r="G11" s="10">
        <v>94733</v>
      </c>
      <c r="H11" s="10">
        <v>47522</v>
      </c>
      <c r="I11" s="10">
        <v>74560</v>
      </c>
      <c r="J11" s="10">
        <v>86655</v>
      </c>
      <c r="K11" s="10">
        <v>62365</v>
      </c>
      <c r="L11" s="10">
        <v>34220</v>
      </c>
      <c r="M11" s="10">
        <v>18235</v>
      </c>
      <c r="N11" s="10">
        <v>66265</v>
      </c>
      <c r="O11" s="8"/>
    </row>
    <row r="12" spans="1:20" x14ac:dyDescent="0.35">
      <c r="A12" t="s">
        <v>118</v>
      </c>
      <c r="B12" t="s">
        <v>120</v>
      </c>
      <c r="C12" s="10">
        <v>96146</v>
      </c>
      <c r="D12" s="10">
        <v>56189</v>
      </c>
      <c r="E12" s="10">
        <v>96188</v>
      </c>
      <c r="F12" s="10">
        <v>99668</v>
      </c>
      <c r="G12" s="10">
        <v>61410</v>
      </c>
      <c r="H12" s="10">
        <v>27852</v>
      </c>
      <c r="I12" s="10">
        <v>95420</v>
      </c>
      <c r="J12" s="10">
        <v>36487</v>
      </c>
      <c r="K12" s="10">
        <v>37266</v>
      </c>
      <c r="L12" s="10">
        <v>60747</v>
      </c>
      <c r="M12" s="10">
        <v>48071</v>
      </c>
      <c r="N12" s="10">
        <v>70787</v>
      </c>
      <c r="O12" s="8"/>
    </row>
    <row r="13" spans="1:20" x14ac:dyDescent="0.35">
      <c r="A13" t="s">
        <v>116</v>
      </c>
      <c r="B13" t="s">
        <v>119</v>
      </c>
      <c r="C13" s="10">
        <v>92181</v>
      </c>
      <c r="D13" s="10">
        <v>51739</v>
      </c>
      <c r="E13" s="10">
        <v>74041</v>
      </c>
      <c r="F13" s="10">
        <v>17878</v>
      </c>
      <c r="G13" s="10">
        <v>26755</v>
      </c>
      <c r="H13" s="10">
        <v>99439</v>
      </c>
      <c r="I13" s="10">
        <v>34118</v>
      </c>
      <c r="J13" s="10">
        <v>70972</v>
      </c>
      <c r="K13" s="10">
        <v>52318</v>
      </c>
      <c r="L13" s="10">
        <v>69160</v>
      </c>
      <c r="M13" s="10">
        <v>58427</v>
      </c>
      <c r="N13" s="10">
        <v>47282</v>
      </c>
      <c r="O13" s="8"/>
    </row>
    <row r="14" spans="1:20" x14ac:dyDescent="0.35">
      <c r="A14" t="s">
        <v>114</v>
      </c>
      <c r="B14" t="s">
        <v>119</v>
      </c>
      <c r="C14" s="10">
        <v>15830</v>
      </c>
      <c r="D14" s="10">
        <v>94324</v>
      </c>
      <c r="E14" s="10">
        <v>90995</v>
      </c>
      <c r="F14" s="10">
        <v>24432</v>
      </c>
      <c r="G14" s="10">
        <v>49335</v>
      </c>
      <c r="H14" s="10">
        <v>92997</v>
      </c>
      <c r="I14" s="10">
        <v>73489</v>
      </c>
      <c r="J14" s="10">
        <v>34679</v>
      </c>
      <c r="K14" s="10">
        <v>4481</v>
      </c>
      <c r="L14" s="10">
        <v>96535</v>
      </c>
      <c r="M14" s="10">
        <v>70858</v>
      </c>
      <c r="N14" s="10">
        <v>82564</v>
      </c>
      <c r="O14" s="8"/>
    </row>
    <row r="15" spans="1:20" x14ac:dyDescent="0.35">
      <c r="A15" t="s">
        <v>115</v>
      </c>
      <c r="B15" t="s">
        <v>98</v>
      </c>
      <c r="C15" s="10">
        <v>81395</v>
      </c>
      <c r="D15" s="10">
        <v>63511</v>
      </c>
      <c r="E15" s="10">
        <v>35782</v>
      </c>
      <c r="F15" s="10">
        <v>14977</v>
      </c>
      <c r="G15" s="10">
        <v>14577</v>
      </c>
      <c r="H15" s="10">
        <v>19406</v>
      </c>
      <c r="I15" s="10">
        <v>85474</v>
      </c>
      <c r="J15" s="10">
        <v>37207</v>
      </c>
      <c r="K15" s="10">
        <v>24731</v>
      </c>
      <c r="L15" s="10">
        <v>27598</v>
      </c>
      <c r="M15" s="10">
        <v>31697</v>
      </c>
      <c r="N15" s="10">
        <v>90187</v>
      </c>
      <c r="O15" s="8"/>
    </row>
    <row r="16" spans="1:20" x14ac:dyDescent="0.35">
      <c r="A16" t="s">
        <v>113</v>
      </c>
      <c r="B16" t="s">
        <v>120</v>
      </c>
      <c r="C16" s="10">
        <v>55886</v>
      </c>
      <c r="D16" s="10">
        <v>65682</v>
      </c>
      <c r="E16" s="10">
        <v>88480</v>
      </c>
      <c r="F16" s="10">
        <v>51949</v>
      </c>
      <c r="G16" s="10">
        <v>36557</v>
      </c>
      <c r="H16" s="10">
        <v>95036</v>
      </c>
      <c r="I16" s="10">
        <v>62277</v>
      </c>
      <c r="J16" s="10">
        <v>74035</v>
      </c>
      <c r="K16" s="10">
        <v>82677</v>
      </c>
      <c r="L16" s="10">
        <v>86239</v>
      </c>
      <c r="M16" s="10">
        <v>83272</v>
      </c>
      <c r="N16" s="10">
        <v>27614</v>
      </c>
      <c r="O16" s="8"/>
    </row>
    <row r="17" spans="1:15" x14ac:dyDescent="0.35">
      <c r="A17" t="s">
        <v>115</v>
      </c>
      <c r="B17" t="s">
        <v>119</v>
      </c>
      <c r="C17" s="10">
        <v>96780</v>
      </c>
      <c r="D17" s="10">
        <v>47611</v>
      </c>
      <c r="E17" s="10">
        <v>26394</v>
      </c>
      <c r="F17" s="10">
        <v>92710</v>
      </c>
      <c r="G17" s="10">
        <v>69314</v>
      </c>
      <c r="H17" s="10">
        <v>2665</v>
      </c>
      <c r="I17" s="10">
        <v>20555</v>
      </c>
      <c r="J17" s="10">
        <v>27650</v>
      </c>
      <c r="K17" s="10">
        <v>51208</v>
      </c>
      <c r="L17" s="10">
        <v>23720</v>
      </c>
      <c r="M17" s="10">
        <v>59805</v>
      </c>
      <c r="N17" s="10">
        <v>47735</v>
      </c>
      <c r="O17" s="8"/>
    </row>
    <row r="18" spans="1:15" x14ac:dyDescent="0.35">
      <c r="A18" t="s">
        <v>114</v>
      </c>
      <c r="B18" t="s">
        <v>97</v>
      </c>
      <c r="C18" s="10">
        <v>12779</v>
      </c>
      <c r="D18" s="10">
        <v>28565</v>
      </c>
      <c r="E18" s="10">
        <v>78161</v>
      </c>
      <c r="F18" s="10">
        <v>9511</v>
      </c>
      <c r="G18" s="10">
        <v>85293</v>
      </c>
      <c r="H18" s="10">
        <v>46381</v>
      </c>
      <c r="I18" s="10">
        <v>49942</v>
      </c>
      <c r="J18" s="10">
        <v>77621</v>
      </c>
      <c r="K18" s="10">
        <v>80514</v>
      </c>
      <c r="L18" s="10">
        <v>55369</v>
      </c>
      <c r="M18" s="10">
        <v>46291</v>
      </c>
      <c r="N18" s="10">
        <v>70938</v>
      </c>
      <c r="O18" s="8"/>
    </row>
    <row r="19" spans="1:15" x14ac:dyDescent="0.35">
      <c r="A19" t="s">
        <v>113</v>
      </c>
      <c r="B19" t="s">
        <v>97</v>
      </c>
      <c r="C19" s="10">
        <v>59811</v>
      </c>
      <c r="D19" s="10">
        <v>3822</v>
      </c>
      <c r="E19" s="10">
        <v>45852</v>
      </c>
      <c r="F19" s="10">
        <v>56155</v>
      </c>
      <c r="G19" s="10">
        <v>40105</v>
      </c>
      <c r="H19" s="10">
        <v>94510</v>
      </c>
      <c r="I19" s="10">
        <v>37436</v>
      </c>
      <c r="J19" s="10">
        <v>6454</v>
      </c>
      <c r="K19" s="10">
        <v>66173</v>
      </c>
      <c r="L19" s="10">
        <v>76586</v>
      </c>
      <c r="M19" s="10">
        <v>8260</v>
      </c>
      <c r="N19" s="10">
        <v>57849</v>
      </c>
      <c r="O19" s="8"/>
    </row>
    <row r="20" spans="1:15" x14ac:dyDescent="0.35">
      <c r="A20" t="s">
        <v>115</v>
      </c>
      <c r="B20" t="s">
        <v>97</v>
      </c>
      <c r="C20" s="10">
        <v>75305</v>
      </c>
      <c r="D20" s="10">
        <v>25901</v>
      </c>
      <c r="E20" s="10">
        <v>37148</v>
      </c>
      <c r="F20" s="10">
        <v>44242</v>
      </c>
      <c r="G20" s="10">
        <v>31913</v>
      </c>
      <c r="H20" s="10">
        <v>58046</v>
      </c>
      <c r="I20" s="10">
        <v>58505</v>
      </c>
      <c r="J20" s="10">
        <v>67684</v>
      </c>
      <c r="K20" s="10">
        <v>95203</v>
      </c>
      <c r="L20" s="10">
        <v>55269</v>
      </c>
      <c r="M20" s="10">
        <v>44741</v>
      </c>
      <c r="N20" s="10">
        <v>56562</v>
      </c>
      <c r="O20" s="8"/>
    </row>
    <row r="21" spans="1:15" x14ac:dyDescent="0.35">
      <c r="A21" t="s">
        <v>116</v>
      </c>
      <c r="B21" t="s">
        <v>120</v>
      </c>
      <c r="C21" s="10">
        <v>94912</v>
      </c>
      <c r="D21" s="10">
        <v>3458</v>
      </c>
      <c r="E21" s="10">
        <v>27891</v>
      </c>
      <c r="F21" s="10">
        <v>71596</v>
      </c>
      <c r="G21" s="10">
        <v>98590</v>
      </c>
      <c r="H21" s="10">
        <v>52932</v>
      </c>
      <c r="I21" s="10">
        <v>65113</v>
      </c>
      <c r="J21" s="10">
        <v>8283</v>
      </c>
      <c r="K21" s="10">
        <v>84304</v>
      </c>
      <c r="L21" s="10">
        <v>44235</v>
      </c>
      <c r="M21" s="10">
        <v>4626</v>
      </c>
      <c r="N21" s="10">
        <v>5224</v>
      </c>
      <c r="O21" s="8"/>
    </row>
    <row r="22" spans="1:15" x14ac:dyDescent="0.35">
      <c r="A22" t="s">
        <v>114</v>
      </c>
      <c r="B22" t="s">
        <v>120</v>
      </c>
      <c r="C22" s="10">
        <v>10548</v>
      </c>
      <c r="D22" s="10">
        <v>98675</v>
      </c>
      <c r="E22" s="10">
        <v>11212</v>
      </c>
      <c r="F22" s="10">
        <v>35871</v>
      </c>
      <c r="G22" s="10">
        <v>9031</v>
      </c>
      <c r="H22" s="10">
        <v>35449</v>
      </c>
      <c r="I22" s="10">
        <v>58462</v>
      </c>
      <c r="J22" s="10">
        <v>35353</v>
      </c>
      <c r="K22" s="10">
        <v>51659</v>
      </c>
      <c r="L22" s="10">
        <v>74751</v>
      </c>
      <c r="M22" s="10">
        <v>49543</v>
      </c>
      <c r="N22" s="10">
        <v>56369</v>
      </c>
      <c r="O22" s="8"/>
    </row>
    <row r="23" spans="1:15" x14ac:dyDescent="0.35">
      <c r="A23" t="s">
        <v>115</v>
      </c>
      <c r="B23" t="s">
        <v>120</v>
      </c>
      <c r="C23" s="10">
        <v>42901</v>
      </c>
      <c r="D23" s="10">
        <v>86435</v>
      </c>
      <c r="E23" s="10">
        <v>45563</v>
      </c>
      <c r="F23" s="10">
        <v>13008</v>
      </c>
      <c r="G23" s="10">
        <v>81542</v>
      </c>
      <c r="H23" s="10">
        <v>13849</v>
      </c>
      <c r="I23" s="10">
        <v>57636</v>
      </c>
      <c r="J23" s="10">
        <v>88787</v>
      </c>
      <c r="K23" s="10">
        <v>32657</v>
      </c>
      <c r="L23" s="10">
        <v>42028</v>
      </c>
      <c r="M23" s="10">
        <v>47391</v>
      </c>
      <c r="N23" s="10">
        <v>72811</v>
      </c>
      <c r="O23" s="8"/>
    </row>
    <row r="24" spans="1:15" x14ac:dyDescent="0.35">
      <c r="A24" t="s">
        <v>11</v>
      </c>
      <c r="B24" t="s">
        <v>98</v>
      </c>
      <c r="C24" s="10">
        <v>9450</v>
      </c>
      <c r="D24" s="10">
        <v>59454</v>
      </c>
      <c r="E24" s="10">
        <v>54845</v>
      </c>
      <c r="F24" s="10">
        <v>73820</v>
      </c>
      <c r="G24" s="10">
        <v>89599</v>
      </c>
      <c r="H24" s="10">
        <v>36020</v>
      </c>
      <c r="I24" s="10">
        <v>89974</v>
      </c>
      <c r="J24" s="10">
        <v>26181</v>
      </c>
      <c r="K24" s="10">
        <v>95649</v>
      </c>
      <c r="L24" s="10">
        <v>52412</v>
      </c>
      <c r="M24" s="10">
        <v>98624</v>
      </c>
      <c r="N24" s="10">
        <v>31152</v>
      </c>
      <c r="O24" s="8"/>
    </row>
    <row r="25" spans="1:15" x14ac:dyDescent="0.35">
      <c r="A25" t="s">
        <v>113</v>
      </c>
      <c r="B25" t="s">
        <v>119</v>
      </c>
      <c r="C25" s="10">
        <v>63322</v>
      </c>
      <c r="D25" s="10">
        <v>13448</v>
      </c>
      <c r="E25" s="10">
        <v>33946</v>
      </c>
      <c r="F25" s="10">
        <v>12356</v>
      </c>
      <c r="G25" s="10">
        <v>58189</v>
      </c>
      <c r="H25" s="10">
        <v>88468</v>
      </c>
      <c r="I25" s="10">
        <v>29765</v>
      </c>
      <c r="J25" s="10">
        <v>26505</v>
      </c>
      <c r="K25" s="10">
        <v>97550</v>
      </c>
      <c r="L25" s="10">
        <v>46965</v>
      </c>
      <c r="M25" s="10">
        <v>24391</v>
      </c>
      <c r="N25" s="10">
        <v>28630</v>
      </c>
      <c r="O25" s="8"/>
    </row>
    <row r="26" spans="1:15" x14ac:dyDescent="0.35">
      <c r="A26" t="s">
        <v>114</v>
      </c>
      <c r="B26" t="s">
        <v>98</v>
      </c>
      <c r="C26" s="10">
        <v>91091</v>
      </c>
      <c r="D26" s="10">
        <v>99838</v>
      </c>
      <c r="E26" s="10">
        <v>34346</v>
      </c>
      <c r="F26" s="10">
        <v>19515</v>
      </c>
      <c r="G26" s="10">
        <v>97606</v>
      </c>
      <c r="H26" s="10">
        <v>82657</v>
      </c>
      <c r="I26" s="10">
        <v>96376</v>
      </c>
      <c r="J26" s="10">
        <v>74631</v>
      </c>
      <c r="K26" s="10">
        <v>54069</v>
      </c>
      <c r="L26" s="10">
        <v>30991</v>
      </c>
      <c r="M26" s="10">
        <v>62502</v>
      </c>
      <c r="N26" s="10">
        <v>94446</v>
      </c>
      <c r="O26" s="8"/>
    </row>
    <row r="27" spans="1:15" x14ac:dyDescent="0.35">
      <c r="A27" t="s">
        <v>113</v>
      </c>
      <c r="B27" t="s">
        <v>98</v>
      </c>
      <c r="C27" s="10">
        <v>82570</v>
      </c>
      <c r="D27" s="10">
        <v>14786</v>
      </c>
      <c r="E27" s="10">
        <v>10089</v>
      </c>
      <c r="F27" s="10">
        <v>15911</v>
      </c>
      <c r="G27" s="10">
        <v>19198</v>
      </c>
      <c r="H27" s="10">
        <v>90447</v>
      </c>
      <c r="I27" s="10">
        <v>53488</v>
      </c>
      <c r="J27" s="10">
        <v>99695</v>
      </c>
      <c r="K27" s="10">
        <v>27314</v>
      </c>
      <c r="L27" s="10">
        <v>2403</v>
      </c>
      <c r="M27" s="10">
        <v>17670</v>
      </c>
      <c r="N27" s="10">
        <v>33926</v>
      </c>
      <c r="O27" s="8"/>
    </row>
    <row r="28" spans="1:15" x14ac:dyDescent="0.35">
      <c r="O28" s="8"/>
    </row>
    <row r="29" spans="1:15" x14ac:dyDescent="0.35">
      <c r="O29" s="8"/>
    </row>
    <row r="30" spans="1:15" x14ac:dyDescent="0.35">
      <c r="O30" s="8"/>
    </row>
    <row r="31" spans="1:15" x14ac:dyDescent="0.35">
      <c r="O31" s="8"/>
    </row>
    <row r="32" spans="1:15" x14ac:dyDescent="0.35">
      <c r="O32" s="8"/>
    </row>
    <row r="33" spans="15:15" x14ac:dyDescent="0.35">
      <c r="O33" s="8"/>
    </row>
    <row r="34" spans="15:15" x14ac:dyDescent="0.35">
      <c r="O34" s="8"/>
    </row>
    <row r="35" spans="15:15" x14ac:dyDescent="0.35">
      <c r="O35" s="8"/>
    </row>
    <row r="36" spans="15:15" x14ac:dyDescent="0.35">
      <c r="O36" s="8"/>
    </row>
    <row r="37" spans="15:15" x14ac:dyDescent="0.35">
      <c r="O37" s="8"/>
    </row>
    <row r="38" spans="15:15" x14ac:dyDescent="0.35">
      <c r="O38" s="8"/>
    </row>
    <row r="39" spans="15:15" x14ac:dyDescent="0.35">
      <c r="O39" s="8"/>
    </row>
    <row r="40" spans="15:15" x14ac:dyDescent="0.35">
      <c r="O40" s="8"/>
    </row>
    <row r="41" spans="15:15" x14ac:dyDescent="0.35">
      <c r="O41" s="8"/>
    </row>
    <row r="42" spans="15:15" x14ac:dyDescent="0.35">
      <c r="O42" s="8"/>
    </row>
    <row r="43" spans="15:15" x14ac:dyDescent="0.35">
      <c r="O43" s="8"/>
    </row>
    <row r="44" spans="15:15" x14ac:dyDescent="0.35">
      <c r="O44" s="8"/>
    </row>
    <row r="45" spans="15:15" x14ac:dyDescent="0.35">
      <c r="O45" s="8"/>
    </row>
    <row r="46" spans="15:15" x14ac:dyDescent="0.35">
      <c r="O46" s="8"/>
    </row>
    <row r="47" spans="15:15" x14ac:dyDescent="0.35">
      <c r="O47" s="8"/>
    </row>
    <row r="48" spans="15:15" x14ac:dyDescent="0.35">
      <c r="O48" s="8"/>
    </row>
    <row r="49" spans="15:15" x14ac:dyDescent="0.35">
      <c r="O49" s="8"/>
    </row>
    <row r="50" spans="15:15" x14ac:dyDescent="0.35">
      <c r="O50" s="8"/>
    </row>
    <row r="51" spans="15:15" x14ac:dyDescent="0.35">
      <c r="O51" s="8"/>
    </row>
    <row r="52" spans="15:15" x14ac:dyDescent="0.35">
      <c r="O52" s="8"/>
    </row>
    <row r="53" spans="15:15" x14ac:dyDescent="0.35">
      <c r="O53" s="8"/>
    </row>
    <row r="54" spans="15:15" x14ac:dyDescent="0.35">
      <c r="O54" s="8"/>
    </row>
    <row r="55" spans="15:15" x14ac:dyDescent="0.35">
      <c r="O55" s="8"/>
    </row>
    <row r="56" spans="15:15" x14ac:dyDescent="0.35">
      <c r="O56" s="8"/>
    </row>
    <row r="57" spans="15:15" x14ac:dyDescent="0.35">
      <c r="O57" s="8"/>
    </row>
    <row r="58" spans="15:15" x14ac:dyDescent="0.35">
      <c r="O58" s="8"/>
    </row>
    <row r="59" spans="15:15" x14ac:dyDescent="0.35">
      <c r="O59" s="8"/>
    </row>
    <row r="60" spans="15:15" x14ac:dyDescent="0.35">
      <c r="O60" s="8"/>
    </row>
    <row r="61" spans="15:15" x14ac:dyDescent="0.35">
      <c r="O61" s="8"/>
    </row>
    <row r="62" spans="15:15" x14ac:dyDescent="0.35">
      <c r="O62" s="8"/>
    </row>
    <row r="63" spans="15:15" x14ac:dyDescent="0.35">
      <c r="O63" s="8"/>
    </row>
    <row r="64" spans="15:15" x14ac:dyDescent="0.35">
      <c r="O64" s="8"/>
    </row>
    <row r="65" spans="15:15" x14ac:dyDescent="0.35">
      <c r="O65" s="8"/>
    </row>
    <row r="66" spans="15:15" x14ac:dyDescent="0.35">
      <c r="O66" s="8"/>
    </row>
    <row r="67" spans="15:15" x14ac:dyDescent="0.35">
      <c r="O67" s="8"/>
    </row>
    <row r="68" spans="15:15" x14ac:dyDescent="0.35">
      <c r="O68" s="8"/>
    </row>
    <row r="69" spans="15:15" x14ac:dyDescent="0.35">
      <c r="O69" s="8"/>
    </row>
    <row r="70" spans="15:15" x14ac:dyDescent="0.35">
      <c r="O70" s="8"/>
    </row>
    <row r="71" spans="15:15" x14ac:dyDescent="0.35">
      <c r="O71" s="8"/>
    </row>
    <row r="72" spans="15:15" x14ac:dyDescent="0.35">
      <c r="O72" s="8"/>
    </row>
    <row r="73" spans="15:15" x14ac:dyDescent="0.35">
      <c r="O73" s="8"/>
    </row>
    <row r="74" spans="15:15" x14ac:dyDescent="0.35">
      <c r="O74" s="8"/>
    </row>
    <row r="75" spans="15:15" x14ac:dyDescent="0.35">
      <c r="O75" s="8"/>
    </row>
    <row r="76" spans="15:15" x14ac:dyDescent="0.35">
      <c r="O76" s="8"/>
    </row>
    <row r="77" spans="15:15" x14ac:dyDescent="0.35">
      <c r="O77" s="8"/>
    </row>
    <row r="78" spans="15:15" x14ac:dyDescent="0.35">
      <c r="O78" s="8"/>
    </row>
    <row r="79" spans="15:15" x14ac:dyDescent="0.35">
      <c r="O79" s="8"/>
    </row>
    <row r="80" spans="15:15" x14ac:dyDescent="0.35">
      <c r="O80" s="8"/>
    </row>
    <row r="81" spans="15:15" x14ac:dyDescent="0.35">
      <c r="O81" s="8"/>
    </row>
    <row r="82" spans="15:15" x14ac:dyDescent="0.35">
      <c r="O82" s="8"/>
    </row>
    <row r="83" spans="15:15" x14ac:dyDescent="0.35">
      <c r="O83" s="8"/>
    </row>
    <row r="84" spans="15:15" x14ac:dyDescent="0.35">
      <c r="O84" s="8"/>
    </row>
    <row r="85" spans="15:15" x14ac:dyDescent="0.35">
      <c r="O85" s="8"/>
    </row>
    <row r="86" spans="15:15" x14ac:dyDescent="0.35">
      <c r="O86" s="8"/>
    </row>
    <row r="87" spans="15:15" x14ac:dyDescent="0.35">
      <c r="O87" s="8"/>
    </row>
    <row r="88" spans="15:15" x14ac:dyDescent="0.35">
      <c r="O88" s="8"/>
    </row>
    <row r="89" spans="15:15" x14ac:dyDescent="0.35">
      <c r="O89" s="8"/>
    </row>
    <row r="90" spans="15:15" x14ac:dyDescent="0.35">
      <c r="O90" s="8"/>
    </row>
    <row r="91" spans="15:15" x14ac:dyDescent="0.35">
      <c r="O91" s="8"/>
    </row>
    <row r="92" spans="15:15" x14ac:dyDescent="0.35">
      <c r="O92" s="8"/>
    </row>
    <row r="93" spans="15:15" x14ac:dyDescent="0.35">
      <c r="O93" s="8"/>
    </row>
    <row r="94" spans="15:15" x14ac:dyDescent="0.35">
      <c r="O94" s="8"/>
    </row>
    <row r="95" spans="15:15" x14ac:dyDescent="0.35">
      <c r="O95" s="8"/>
    </row>
    <row r="96" spans="15:15" x14ac:dyDescent="0.35">
      <c r="O96" s="8"/>
    </row>
    <row r="97" spans="15:15" x14ac:dyDescent="0.35">
      <c r="O97" s="8"/>
    </row>
    <row r="98" spans="15:15" x14ac:dyDescent="0.35">
      <c r="O98" s="8"/>
    </row>
    <row r="99" spans="15:15" x14ac:dyDescent="0.35">
      <c r="O99" s="8"/>
    </row>
    <row r="100" spans="15:15" x14ac:dyDescent="0.35">
      <c r="O1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DC0E-4868-4885-A261-72D0F96D30E7}">
  <dimension ref="A1:T100"/>
  <sheetViews>
    <sheetView workbookViewId="0">
      <selection activeCell="O1" sqref="O1:O1048576"/>
    </sheetView>
  </sheetViews>
  <sheetFormatPr defaultRowHeight="14.5" x14ac:dyDescent="0.35"/>
  <cols>
    <col min="2" max="2" width="12.6328125" customWidth="1"/>
    <col min="3" max="14" width="11" style="6" bestFit="1" customWidth="1"/>
    <col min="15" max="15" width="8.453125" bestFit="1" customWidth="1"/>
  </cols>
  <sheetData>
    <row r="1" spans="1:20" s="3" customFormat="1" x14ac:dyDescent="0.35">
      <c r="A1" s="3" t="s">
        <v>83</v>
      </c>
      <c r="B1" s="3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/>
      <c r="Q1"/>
      <c r="S1"/>
      <c r="T1"/>
    </row>
    <row r="2" spans="1:20" x14ac:dyDescent="0.35">
      <c r="A2" t="s">
        <v>118</v>
      </c>
      <c r="B2" t="s">
        <v>98</v>
      </c>
      <c r="C2" s="10">
        <v>95335</v>
      </c>
      <c r="D2" s="10">
        <v>59275</v>
      </c>
      <c r="E2" s="10">
        <v>63754</v>
      </c>
      <c r="F2" s="10">
        <v>14098</v>
      </c>
      <c r="G2" s="10">
        <v>18390</v>
      </c>
      <c r="H2" s="10">
        <v>108393</v>
      </c>
      <c r="I2" s="10">
        <v>7985</v>
      </c>
      <c r="J2" s="10">
        <v>19140</v>
      </c>
      <c r="K2" s="10">
        <v>31109</v>
      </c>
      <c r="L2" s="10">
        <v>76715</v>
      </c>
      <c r="M2" s="10">
        <v>94535</v>
      </c>
      <c r="N2" s="10">
        <v>96289</v>
      </c>
      <c r="O2" s="8"/>
    </row>
    <row r="3" spans="1:20" x14ac:dyDescent="0.35">
      <c r="A3" t="s">
        <v>117</v>
      </c>
      <c r="B3" t="s">
        <v>119</v>
      </c>
      <c r="C3" s="10">
        <v>95396</v>
      </c>
      <c r="D3" s="10">
        <v>20930</v>
      </c>
      <c r="E3" s="10">
        <v>9856</v>
      </c>
      <c r="F3" s="10">
        <v>78047</v>
      </c>
      <c r="G3" s="10">
        <v>106074</v>
      </c>
      <c r="H3" s="10">
        <v>81896</v>
      </c>
      <c r="I3" s="10">
        <v>14533</v>
      </c>
      <c r="J3" s="10">
        <v>87693</v>
      </c>
      <c r="K3" s="10">
        <v>23714</v>
      </c>
      <c r="L3" s="10">
        <v>11362</v>
      </c>
      <c r="M3" s="10">
        <v>42869</v>
      </c>
      <c r="N3" s="10">
        <v>24453</v>
      </c>
      <c r="O3" s="8"/>
    </row>
    <row r="4" spans="1:20" x14ac:dyDescent="0.35">
      <c r="A4" t="s">
        <v>102</v>
      </c>
      <c r="B4" t="s">
        <v>119</v>
      </c>
      <c r="C4" s="10">
        <v>26146</v>
      </c>
      <c r="D4" s="10">
        <v>12945</v>
      </c>
      <c r="E4" s="10">
        <v>101900</v>
      </c>
      <c r="F4" s="10">
        <v>107245</v>
      </c>
      <c r="G4" s="10">
        <v>68951</v>
      </c>
      <c r="H4" s="10">
        <v>1221</v>
      </c>
      <c r="I4" s="10">
        <v>44704</v>
      </c>
      <c r="J4" s="10">
        <v>8253</v>
      </c>
      <c r="K4" s="10">
        <v>34444</v>
      </c>
      <c r="L4" s="10">
        <v>1531</v>
      </c>
      <c r="M4" s="10">
        <v>17496</v>
      </c>
      <c r="N4" s="10">
        <v>81338</v>
      </c>
      <c r="O4" s="8"/>
    </row>
    <row r="5" spans="1:20" x14ac:dyDescent="0.35">
      <c r="A5" t="s">
        <v>101</v>
      </c>
      <c r="B5" t="s">
        <v>119</v>
      </c>
      <c r="C5" s="10">
        <v>80188</v>
      </c>
      <c r="D5" s="10">
        <v>75123</v>
      </c>
      <c r="E5" s="10">
        <v>107225</v>
      </c>
      <c r="F5" s="10">
        <v>14727</v>
      </c>
      <c r="G5" s="10">
        <v>23936</v>
      </c>
      <c r="H5" s="10">
        <v>13361</v>
      </c>
      <c r="I5" s="10">
        <v>20875</v>
      </c>
      <c r="J5" s="10">
        <v>93944</v>
      </c>
      <c r="K5" s="10">
        <v>55759</v>
      </c>
      <c r="L5" s="10">
        <v>77022</v>
      </c>
      <c r="M5" s="10">
        <v>14416</v>
      </c>
      <c r="N5" s="10">
        <v>85281</v>
      </c>
      <c r="O5" s="8"/>
    </row>
    <row r="6" spans="1:20" x14ac:dyDescent="0.35">
      <c r="A6" t="s">
        <v>115</v>
      </c>
      <c r="B6" t="s">
        <v>98</v>
      </c>
      <c r="C6" s="10">
        <v>101773</v>
      </c>
      <c r="D6" s="10">
        <v>98771</v>
      </c>
      <c r="E6">
        <v>953</v>
      </c>
      <c r="F6" s="10">
        <v>36927</v>
      </c>
      <c r="G6" s="10">
        <v>95425</v>
      </c>
      <c r="H6" s="10">
        <v>32489</v>
      </c>
      <c r="I6" s="10">
        <v>10175</v>
      </c>
      <c r="J6" s="10">
        <v>44378</v>
      </c>
      <c r="K6" s="10">
        <v>96489</v>
      </c>
      <c r="L6" s="10">
        <v>21733</v>
      </c>
      <c r="M6" s="10">
        <v>108363</v>
      </c>
      <c r="N6" s="10">
        <v>31281</v>
      </c>
      <c r="O6" s="8"/>
    </row>
    <row r="7" spans="1:20" x14ac:dyDescent="0.35">
      <c r="A7" t="s">
        <v>118</v>
      </c>
      <c r="B7" t="s">
        <v>120</v>
      </c>
      <c r="C7" s="10">
        <v>10600</v>
      </c>
      <c r="D7" s="10">
        <v>22290</v>
      </c>
      <c r="E7" s="10">
        <v>77574</v>
      </c>
      <c r="F7" s="10">
        <v>13127</v>
      </c>
      <c r="G7" s="10">
        <v>48337</v>
      </c>
      <c r="H7" s="10">
        <v>53851</v>
      </c>
      <c r="I7" s="10">
        <v>24176</v>
      </c>
      <c r="J7" s="10">
        <v>60474</v>
      </c>
      <c r="K7" s="10">
        <v>40229</v>
      </c>
      <c r="L7" s="10">
        <v>104092</v>
      </c>
      <c r="M7" s="10">
        <v>12170</v>
      </c>
      <c r="N7" s="10">
        <v>36185</v>
      </c>
      <c r="O7" s="8"/>
    </row>
    <row r="8" spans="1:20" x14ac:dyDescent="0.35">
      <c r="A8" t="s">
        <v>116</v>
      </c>
      <c r="B8" t="s">
        <v>120</v>
      </c>
      <c r="C8" s="10">
        <v>29778</v>
      </c>
      <c r="D8" s="10">
        <v>29874</v>
      </c>
      <c r="E8" s="10">
        <v>89416</v>
      </c>
      <c r="F8" s="10">
        <v>57829</v>
      </c>
      <c r="G8" s="10">
        <v>40361</v>
      </c>
      <c r="H8" s="10">
        <v>70550</v>
      </c>
      <c r="I8" s="10">
        <v>17227</v>
      </c>
      <c r="J8" s="10">
        <v>84412</v>
      </c>
      <c r="K8" s="10">
        <v>79602</v>
      </c>
      <c r="L8" s="10">
        <v>93733</v>
      </c>
      <c r="M8" s="10">
        <v>69058</v>
      </c>
      <c r="N8" s="10">
        <v>44171</v>
      </c>
      <c r="O8" s="8"/>
    </row>
    <row r="9" spans="1:20" x14ac:dyDescent="0.35">
      <c r="A9" t="s">
        <v>116</v>
      </c>
      <c r="B9" t="s">
        <v>119</v>
      </c>
      <c r="C9" s="10">
        <v>48069</v>
      </c>
      <c r="D9" s="10">
        <v>24481</v>
      </c>
      <c r="E9" s="10">
        <v>40693</v>
      </c>
      <c r="F9" s="10">
        <v>48232</v>
      </c>
      <c r="G9" s="10">
        <v>38254</v>
      </c>
      <c r="H9" s="10">
        <v>54757</v>
      </c>
      <c r="I9" s="10">
        <v>69387</v>
      </c>
      <c r="J9" s="10">
        <v>85160</v>
      </c>
      <c r="K9" s="10">
        <v>27677</v>
      </c>
      <c r="L9" s="10">
        <v>99924</v>
      </c>
      <c r="M9" s="10">
        <v>40890</v>
      </c>
      <c r="N9" s="10">
        <v>92556</v>
      </c>
      <c r="O9" s="8"/>
    </row>
    <row r="10" spans="1:20" x14ac:dyDescent="0.35">
      <c r="A10" t="s">
        <v>113</v>
      </c>
      <c r="B10" t="s">
        <v>119</v>
      </c>
      <c r="C10" s="10">
        <v>66630</v>
      </c>
      <c r="D10" s="10">
        <v>53772</v>
      </c>
      <c r="E10" s="10">
        <v>4359</v>
      </c>
      <c r="F10" s="10">
        <v>72134</v>
      </c>
      <c r="G10" s="10">
        <v>8688</v>
      </c>
      <c r="H10" s="10">
        <v>44053</v>
      </c>
      <c r="I10" s="10">
        <v>59201</v>
      </c>
      <c r="J10" s="10">
        <v>63311</v>
      </c>
      <c r="K10" s="10">
        <v>102400</v>
      </c>
      <c r="L10" s="10">
        <v>84317</v>
      </c>
      <c r="M10" s="10">
        <v>79501</v>
      </c>
      <c r="N10" s="10">
        <v>87596</v>
      </c>
      <c r="O10" s="8"/>
    </row>
    <row r="11" spans="1:20" x14ac:dyDescent="0.35">
      <c r="A11" t="s">
        <v>100</v>
      </c>
      <c r="B11" t="s">
        <v>120</v>
      </c>
      <c r="C11" s="10">
        <v>76075</v>
      </c>
      <c r="D11" s="10">
        <v>63698</v>
      </c>
      <c r="E11" s="10">
        <v>43388</v>
      </c>
      <c r="F11" s="10">
        <v>100371</v>
      </c>
      <c r="G11" s="10">
        <v>6241</v>
      </c>
      <c r="H11" s="10">
        <v>11989</v>
      </c>
      <c r="I11" s="10">
        <v>92579</v>
      </c>
      <c r="J11" s="10">
        <v>29502</v>
      </c>
      <c r="K11" s="10">
        <v>55823</v>
      </c>
      <c r="L11">
        <v>828</v>
      </c>
      <c r="M11" s="10">
        <v>24296</v>
      </c>
      <c r="N11" s="10">
        <v>81802</v>
      </c>
      <c r="O11" s="8"/>
    </row>
    <row r="12" spans="1:20" x14ac:dyDescent="0.35">
      <c r="A12" t="s">
        <v>101</v>
      </c>
      <c r="B12" t="s">
        <v>98</v>
      </c>
      <c r="C12" s="10">
        <v>108637</v>
      </c>
      <c r="D12" s="10">
        <v>19549</v>
      </c>
      <c r="E12" s="10">
        <v>72415</v>
      </c>
      <c r="F12" s="10">
        <v>75473</v>
      </c>
      <c r="G12" s="10">
        <v>39613</v>
      </c>
      <c r="H12" s="10">
        <v>17974</v>
      </c>
      <c r="I12" s="10">
        <v>107731</v>
      </c>
      <c r="J12" s="10">
        <v>13574</v>
      </c>
      <c r="K12" s="10">
        <v>29102</v>
      </c>
      <c r="L12" s="10">
        <v>54981</v>
      </c>
      <c r="M12" s="10">
        <v>107830</v>
      </c>
      <c r="N12" s="10">
        <v>63026</v>
      </c>
      <c r="O12" s="8"/>
    </row>
    <row r="13" spans="1:20" x14ac:dyDescent="0.35">
      <c r="A13" t="s">
        <v>113</v>
      </c>
      <c r="B13" t="s">
        <v>97</v>
      </c>
      <c r="C13" s="10">
        <v>105761</v>
      </c>
      <c r="D13" s="10">
        <v>61808</v>
      </c>
      <c r="E13" s="10">
        <v>105807</v>
      </c>
      <c r="F13" s="10">
        <v>109635</v>
      </c>
      <c r="G13" s="10">
        <v>67551</v>
      </c>
      <c r="H13" s="10">
        <v>30637</v>
      </c>
      <c r="I13" s="10">
        <v>104962</v>
      </c>
      <c r="J13" s="10">
        <v>40136</v>
      </c>
      <c r="K13" s="10">
        <v>40993</v>
      </c>
      <c r="L13" s="10">
        <v>66822</v>
      </c>
      <c r="M13" s="10">
        <v>52878</v>
      </c>
      <c r="N13" s="10">
        <v>77866</v>
      </c>
      <c r="O13" s="8"/>
    </row>
    <row r="14" spans="1:20" x14ac:dyDescent="0.35">
      <c r="A14" t="s">
        <v>115</v>
      </c>
      <c r="B14" t="s">
        <v>120</v>
      </c>
      <c r="C14" s="10">
        <v>101399</v>
      </c>
      <c r="D14" s="10">
        <v>56913</v>
      </c>
      <c r="E14" s="10">
        <v>81445</v>
      </c>
      <c r="F14" s="10">
        <v>19666</v>
      </c>
      <c r="G14" s="10">
        <v>29431</v>
      </c>
      <c r="H14" s="10">
        <v>109383</v>
      </c>
      <c r="I14" s="10">
        <v>37530</v>
      </c>
      <c r="J14" s="10">
        <v>78069</v>
      </c>
      <c r="K14" s="10">
        <v>57550</v>
      </c>
      <c r="L14" s="10">
        <v>76076</v>
      </c>
      <c r="M14" s="10">
        <v>64270</v>
      </c>
      <c r="N14" s="10">
        <v>52010</v>
      </c>
      <c r="O14" s="8"/>
    </row>
    <row r="15" spans="1:20" x14ac:dyDescent="0.35">
      <c r="A15" t="s">
        <v>11</v>
      </c>
      <c r="B15" t="s">
        <v>98</v>
      </c>
      <c r="C15" s="10">
        <v>23711</v>
      </c>
      <c r="D15" s="10">
        <v>2904</v>
      </c>
      <c r="E15" s="10">
        <v>65133</v>
      </c>
      <c r="F15" s="10">
        <v>6280</v>
      </c>
      <c r="G15" s="10">
        <v>67439</v>
      </c>
      <c r="H15" s="10">
        <v>76487</v>
      </c>
      <c r="I15" s="10">
        <v>69174</v>
      </c>
      <c r="J15" s="10">
        <v>57486</v>
      </c>
      <c r="K15" s="10">
        <v>22333</v>
      </c>
      <c r="L15" s="10">
        <v>66880</v>
      </c>
      <c r="M15">
        <v>286</v>
      </c>
      <c r="N15" s="10">
        <v>93921</v>
      </c>
      <c r="O15" s="8"/>
    </row>
    <row r="16" spans="1:20" x14ac:dyDescent="0.35">
      <c r="A16" t="s">
        <v>102</v>
      </c>
      <c r="B16" t="s">
        <v>98</v>
      </c>
      <c r="C16" s="10">
        <v>17413</v>
      </c>
      <c r="D16" s="10">
        <v>103756</v>
      </c>
      <c r="E16" s="10">
        <v>100095</v>
      </c>
      <c r="F16" s="10">
        <v>26875</v>
      </c>
      <c r="G16" s="10">
        <v>54269</v>
      </c>
      <c r="H16" s="10">
        <v>102297</v>
      </c>
      <c r="I16" s="10">
        <v>80838</v>
      </c>
      <c r="J16" s="10">
        <v>38147</v>
      </c>
      <c r="K16" s="10">
        <v>4929</v>
      </c>
      <c r="L16" s="10">
        <v>106189</v>
      </c>
      <c r="M16" s="10">
        <v>77944</v>
      </c>
      <c r="N16" s="10">
        <v>90820</v>
      </c>
      <c r="O16" s="8"/>
    </row>
    <row r="17" spans="1:15" x14ac:dyDescent="0.35">
      <c r="A17" t="s">
        <v>118</v>
      </c>
      <c r="B17" t="s">
        <v>119</v>
      </c>
      <c r="C17" s="10">
        <v>107866</v>
      </c>
      <c r="D17" s="10">
        <v>50349</v>
      </c>
      <c r="E17" s="10">
        <v>39840</v>
      </c>
      <c r="F17" s="10">
        <v>8875</v>
      </c>
      <c r="G17" s="10">
        <v>85279</v>
      </c>
      <c r="H17" s="10">
        <v>41139</v>
      </c>
      <c r="I17" s="10">
        <v>23642</v>
      </c>
      <c r="J17" s="10">
        <v>64065</v>
      </c>
      <c r="K17" s="10">
        <v>56022</v>
      </c>
      <c r="L17" s="10">
        <v>37393</v>
      </c>
      <c r="M17" s="10">
        <v>55275</v>
      </c>
      <c r="N17" s="10">
        <v>27140</v>
      </c>
      <c r="O17" s="8"/>
    </row>
    <row r="18" spans="1:15" x14ac:dyDescent="0.35">
      <c r="A18" t="s">
        <v>117</v>
      </c>
      <c r="B18" t="s">
        <v>98</v>
      </c>
      <c r="C18" s="10">
        <v>61475</v>
      </c>
      <c r="D18" s="10">
        <v>72250</v>
      </c>
      <c r="E18" s="10">
        <v>97328</v>
      </c>
      <c r="F18" s="10">
        <v>57144</v>
      </c>
      <c r="G18" s="10">
        <v>40213</v>
      </c>
      <c r="H18" s="10">
        <v>104540</v>
      </c>
      <c r="I18" s="10">
        <v>68505</v>
      </c>
      <c r="J18" s="10">
        <v>81439</v>
      </c>
      <c r="K18" s="10">
        <v>90945</v>
      </c>
      <c r="L18" s="10">
        <v>94863</v>
      </c>
      <c r="M18" s="10">
        <v>91599</v>
      </c>
      <c r="N18" s="10">
        <v>30375</v>
      </c>
      <c r="O18" s="8"/>
    </row>
    <row r="19" spans="1:15" x14ac:dyDescent="0.35">
      <c r="A19" t="s">
        <v>113</v>
      </c>
      <c r="B19" t="s">
        <v>98</v>
      </c>
      <c r="C19" s="10">
        <v>26399</v>
      </c>
      <c r="D19" s="10">
        <v>95240</v>
      </c>
      <c r="E19" s="10">
        <v>56866</v>
      </c>
      <c r="F19" s="10">
        <v>37712</v>
      </c>
      <c r="G19" s="10">
        <v>83071</v>
      </c>
      <c r="H19" s="10">
        <v>84260</v>
      </c>
      <c r="I19" s="10">
        <v>13240</v>
      </c>
      <c r="J19" s="10">
        <v>86232</v>
      </c>
      <c r="K19" s="10">
        <v>51152</v>
      </c>
      <c r="L19" s="10">
        <v>79890</v>
      </c>
      <c r="M19" s="10">
        <v>22794</v>
      </c>
      <c r="N19" s="10">
        <v>43446</v>
      </c>
      <c r="O19" s="8"/>
    </row>
    <row r="20" spans="1:15" x14ac:dyDescent="0.35">
      <c r="A20" t="s">
        <v>11</v>
      </c>
      <c r="B20" t="s">
        <v>120</v>
      </c>
      <c r="C20" s="10">
        <v>106458</v>
      </c>
      <c r="D20" s="10">
        <v>52372</v>
      </c>
      <c r="E20" s="10">
        <v>29033</v>
      </c>
      <c r="F20" s="10">
        <v>101981</v>
      </c>
      <c r="G20" s="10">
        <v>76245</v>
      </c>
      <c r="H20" s="10">
        <v>2932</v>
      </c>
      <c r="I20" s="10">
        <v>22611</v>
      </c>
      <c r="J20" s="10">
        <v>30415</v>
      </c>
      <c r="K20" s="10">
        <v>56329</v>
      </c>
      <c r="L20" s="10">
        <v>26092</v>
      </c>
      <c r="M20" s="10">
        <v>65786</v>
      </c>
      <c r="N20" s="10">
        <v>52509</v>
      </c>
      <c r="O20" s="8"/>
    </row>
    <row r="21" spans="1:15" x14ac:dyDescent="0.35">
      <c r="A21" t="s">
        <v>115</v>
      </c>
      <c r="B21" t="s">
        <v>97</v>
      </c>
      <c r="C21" s="10">
        <v>65792</v>
      </c>
      <c r="D21" s="10">
        <v>4204</v>
      </c>
      <c r="E21" s="10">
        <v>50437</v>
      </c>
      <c r="F21" s="10">
        <v>61771</v>
      </c>
      <c r="G21" s="10">
        <v>44116</v>
      </c>
      <c r="H21" s="10">
        <v>103961</v>
      </c>
      <c r="I21" s="10">
        <v>41180</v>
      </c>
      <c r="J21" s="10">
        <v>7099</v>
      </c>
      <c r="K21" s="10">
        <v>72790</v>
      </c>
      <c r="L21" s="10">
        <v>84245</v>
      </c>
      <c r="M21" s="10">
        <v>9086</v>
      </c>
      <c r="N21" s="10">
        <v>63634</v>
      </c>
      <c r="O21" s="8"/>
    </row>
    <row r="22" spans="1:15" x14ac:dyDescent="0.35">
      <c r="A22" t="s">
        <v>11</v>
      </c>
      <c r="B22" t="s">
        <v>119</v>
      </c>
      <c r="C22" s="10">
        <v>32446</v>
      </c>
      <c r="D22" s="10">
        <v>71644</v>
      </c>
      <c r="E22" s="10">
        <v>57880</v>
      </c>
      <c r="F22" s="10">
        <v>55983</v>
      </c>
      <c r="G22" s="10">
        <v>102753</v>
      </c>
      <c r="H22" s="10">
        <v>29048</v>
      </c>
      <c r="I22" s="10">
        <v>97180</v>
      </c>
      <c r="J22" s="10">
        <v>47557</v>
      </c>
      <c r="K22" s="10">
        <v>97087</v>
      </c>
      <c r="L22" s="10">
        <v>51491</v>
      </c>
      <c r="M22" s="10">
        <v>37465</v>
      </c>
      <c r="N22" s="10">
        <v>35239</v>
      </c>
      <c r="O22" s="8"/>
    </row>
    <row r="23" spans="1:15" x14ac:dyDescent="0.35">
      <c r="A23" t="s">
        <v>100</v>
      </c>
      <c r="B23" t="s">
        <v>119</v>
      </c>
      <c r="C23" s="10">
        <v>28580</v>
      </c>
      <c r="D23" s="10">
        <v>63121</v>
      </c>
      <c r="E23" s="10">
        <v>95328</v>
      </c>
      <c r="F23" s="10">
        <v>42126</v>
      </c>
      <c r="G23" s="10">
        <v>42569</v>
      </c>
      <c r="H23" s="10">
        <v>6014</v>
      </c>
      <c r="I23" s="10">
        <v>69333</v>
      </c>
      <c r="J23" s="10">
        <v>69077</v>
      </c>
      <c r="K23" s="10">
        <v>98266</v>
      </c>
      <c r="L23" s="10">
        <v>10174</v>
      </c>
      <c r="M23" s="10">
        <v>20419</v>
      </c>
      <c r="N23" s="10">
        <v>91909</v>
      </c>
      <c r="O23" s="8"/>
    </row>
    <row r="24" spans="1:15" x14ac:dyDescent="0.35">
      <c r="A24" t="s">
        <v>101</v>
      </c>
      <c r="B24" t="s">
        <v>120</v>
      </c>
      <c r="C24" s="10">
        <v>44015</v>
      </c>
      <c r="D24" s="10">
        <v>10077</v>
      </c>
      <c r="E24" s="10">
        <v>21679</v>
      </c>
      <c r="F24" s="10">
        <v>30138</v>
      </c>
      <c r="G24" s="10">
        <v>13961</v>
      </c>
      <c r="H24" s="10">
        <v>109770</v>
      </c>
      <c r="I24" s="10">
        <v>11837</v>
      </c>
      <c r="J24" s="10">
        <v>62710</v>
      </c>
      <c r="K24" s="10">
        <v>22255</v>
      </c>
      <c r="L24" s="10">
        <v>82295</v>
      </c>
      <c r="M24" s="10">
        <v>16434</v>
      </c>
      <c r="N24" s="10">
        <v>43335</v>
      </c>
      <c r="O24" s="8"/>
    </row>
    <row r="25" spans="1:15" x14ac:dyDescent="0.35">
      <c r="A25" t="s">
        <v>114</v>
      </c>
      <c r="B25" t="s">
        <v>97</v>
      </c>
      <c r="C25" s="10">
        <v>19949</v>
      </c>
      <c r="D25" s="10">
        <v>68584</v>
      </c>
      <c r="E25" s="10">
        <v>38992</v>
      </c>
      <c r="F25" s="10">
        <v>107535</v>
      </c>
      <c r="G25" s="10">
        <v>61268</v>
      </c>
      <c r="H25" s="10">
        <v>67351</v>
      </c>
      <c r="I25" s="10">
        <v>40934</v>
      </c>
      <c r="J25" s="10">
        <v>104047</v>
      </c>
      <c r="K25" s="10">
        <v>35389</v>
      </c>
      <c r="L25" s="10">
        <v>108857</v>
      </c>
      <c r="M25" s="10">
        <v>59304</v>
      </c>
      <c r="N25" s="10">
        <v>1744</v>
      </c>
      <c r="O25" s="8"/>
    </row>
    <row r="26" spans="1:15" x14ac:dyDescent="0.35">
      <c r="A26" t="s">
        <v>117</v>
      </c>
      <c r="B26" t="s">
        <v>97</v>
      </c>
      <c r="C26" s="10">
        <v>63829</v>
      </c>
      <c r="D26" s="10">
        <v>4899</v>
      </c>
      <c r="E26" s="10">
        <v>40943</v>
      </c>
      <c r="F26" s="10">
        <v>16905</v>
      </c>
      <c r="G26" s="10">
        <v>74623</v>
      </c>
      <c r="H26" s="10">
        <v>103949</v>
      </c>
      <c r="I26" s="10">
        <v>68880</v>
      </c>
      <c r="J26" s="10">
        <v>56473</v>
      </c>
      <c r="K26" s="10">
        <v>94994</v>
      </c>
      <c r="L26" s="10">
        <v>100223</v>
      </c>
      <c r="M26" s="10">
        <v>55679</v>
      </c>
      <c r="N26" s="10">
        <v>105566</v>
      </c>
      <c r="O26" s="8"/>
    </row>
    <row r="27" spans="1:15" x14ac:dyDescent="0.35">
      <c r="A27" t="s">
        <v>114</v>
      </c>
      <c r="B27" t="s">
        <v>98</v>
      </c>
      <c r="C27" s="10">
        <v>104403</v>
      </c>
      <c r="D27" s="10">
        <v>3804</v>
      </c>
      <c r="E27" s="10">
        <v>30680</v>
      </c>
      <c r="F27" s="10">
        <v>78756</v>
      </c>
      <c r="G27" s="10">
        <v>108449</v>
      </c>
      <c r="H27" s="10">
        <v>58225</v>
      </c>
      <c r="I27" s="10">
        <v>71624</v>
      </c>
      <c r="J27" s="10">
        <v>9111</v>
      </c>
      <c r="K27" s="10">
        <v>92734</v>
      </c>
      <c r="L27" s="10">
        <v>48659</v>
      </c>
      <c r="M27" s="10">
        <v>5089</v>
      </c>
      <c r="N27" s="10">
        <v>5746</v>
      </c>
      <c r="O27" s="8"/>
    </row>
    <row r="28" spans="1:15" x14ac:dyDescent="0.35">
      <c r="A28" t="s">
        <v>113</v>
      </c>
      <c r="B28" t="s">
        <v>120</v>
      </c>
      <c r="C28" s="10">
        <v>62902</v>
      </c>
      <c r="D28" s="10">
        <v>38288</v>
      </c>
      <c r="E28" s="10">
        <v>1088</v>
      </c>
      <c r="F28" s="10">
        <v>106333</v>
      </c>
      <c r="G28" s="10">
        <v>37761</v>
      </c>
      <c r="H28" s="10">
        <v>74687</v>
      </c>
      <c r="I28" s="10">
        <v>28501</v>
      </c>
      <c r="J28" s="10">
        <v>16070</v>
      </c>
      <c r="K28" s="10">
        <v>79165</v>
      </c>
      <c r="L28" s="10">
        <v>75226</v>
      </c>
      <c r="M28" s="10">
        <v>71354</v>
      </c>
      <c r="N28" s="10">
        <v>60360</v>
      </c>
      <c r="O28" s="8"/>
    </row>
    <row r="29" spans="1:15" x14ac:dyDescent="0.35">
      <c r="A29" t="s">
        <v>102</v>
      </c>
      <c r="B29" t="s">
        <v>97</v>
      </c>
      <c r="C29" s="10">
        <v>11603</v>
      </c>
      <c r="D29" s="10">
        <v>108543</v>
      </c>
      <c r="E29" s="10">
        <v>12333</v>
      </c>
      <c r="F29" s="10">
        <v>39458</v>
      </c>
      <c r="G29" s="10">
        <v>9934</v>
      </c>
      <c r="H29" s="10">
        <v>38994</v>
      </c>
      <c r="I29" s="10">
        <v>64308</v>
      </c>
      <c r="J29" s="10">
        <v>38888</v>
      </c>
      <c r="K29" s="10">
        <v>56825</v>
      </c>
      <c r="L29" s="10">
        <v>82226</v>
      </c>
      <c r="M29" s="10">
        <v>54497</v>
      </c>
      <c r="N29" s="10">
        <v>62006</v>
      </c>
      <c r="O29" s="8"/>
    </row>
    <row r="30" spans="1:15" x14ac:dyDescent="0.35">
      <c r="A30" t="s">
        <v>100</v>
      </c>
      <c r="B30" t="s">
        <v>97</v>
      </c>
      <c r="C30" s="10">
        <v>47191</v>
      </c>
      <c r="D30" s="10">
        <v>95079</v>
      </c>
      <c r="E30" s="10">
        <v>50119</v>
      </c>
      <c r="F30" s="10">
        <v>14309</v>
      </c>
      <c r="G30" s="10">
        <v>89696</v>
      </c>
      <c r="H30" s="10">
        <v>15234</v>
      </c>
      <c r="I30" s="10">
        <v>63400</v>
      </c>
      <c r="J30" s="10">
        <v>97666</v>
      </c>
      <c r="K30" s="10">
        <v>35923</v>
      </c>
      <c r="L30" s="10">
        <v>46231</v>
      </c>
      <c r="M30" s="10">
        <v>52130</v>
      </c>
      <c r="N30" s="10">
        <v>80092</v>
      </c>
      <c r="O30" s="8"/>
    </row>
    <row r="31" spans="1:15" x14ac:dyDescent="0.35">
      <c r="A31" t="s">
        <v>116</v>
      </c>
      <c r="B31" t="s">
        <v>98</v>
      </c>
      <c r="C31" s="10">
        <v>35993</v>
      </c>
      <c r="D31" s="10">
        <v>16013</v>
      </c>
      <c r="E31" s="10">
        <v>55327</v>
      </c>
      <c r="F31" s="10">
        <v>75242</v>
      </c>
      <c r="G31" s="10">
        <v>92091</v>
      </c>
      <c r="H31" s="10">
        <v>64011</v>
      </c>
      <c r="I31" s="10">
        <v>54823</v>
      </c>
      <c r="J31" s="10">
        <v>97682</v>
      </c>
      <c r="K31" s="10">
        <v>93113</v>
      </c>
      <c r="L31" s="10">
        <v>54075</v>
      </c>
      <c r="M31" s="10">
        <v>47845</v>
      </c>
      <c r="N31" s="10">
        <v>94145</v>
      </c>
      <c r="O31" s="8"/>
    </row>
    <row r="32" spans="1:15" x14ac:dyDescent="0.35">
      <c r="A32" t="s">
        <v>114</v>
      </c>
      <c r="B32" t="s">
        <v>119</v>
      </c>
      <c r="C32" s="10">
        <v>108242</v>
      </c>
      <c r="D32" s="10">
        <v>18702</v>
      </c>
      <c r="E32" s="10">
        <v>90433</v>
      </c>
      <c r="F32" s="10">
        <v>11944</v>
      </c>
      <c r="G32" s="10">
        <v>26576</v>
      </c>
      <c r="H32" s="10">
        <v>54300</v>
      </c>
      <c r="I32" s="10">
        <v>5843</v>
      </c>
      <c r="J32" s="10">
        <v>47869</v>
      </c>
      <c r="K32" s="10">
        <v>72408</v>
      </c>
      <c r="L32" s="10">
        <v>97165</v>
      </c>
      <c r="M32" s="10">
        <v>11900</v>
      </c>
      <c r="N32" s="10">
        <v>86169</v>
      </c>
      <c r="O32" s="8"/>
    </row>
    <row r="33" spans="1:15" x14ac:dyDescent="0.35">
      <c r="A33" t="s">
        <v>118</v>
      </c>
      <c r="B33" t="s">
        <v>97</v>
      </c>
      <c r="C33" s="10">
        <v>45396</v>
      </c>
      <c r="D33" s="10">
        <v>9649</v>
      </c>
      <c r="E33" s="10">
        <v>26869</v>
      </c>
      <c r="F33" s="10">
        <v>2185</v>
      </c>
      <c r="G33" s="10">
        <v>80230</v>
      </c>
      <c r="H33" s="10">
        <v>42199</v>
      </c>
      <c r="I33" s="10">
        <v>101905</v>
      </c>
      <c r="J33" s="10">
        <v>68339</v>
      </c>
      <c r="K33" s="10">
        <v>18275</v>
      </c>
      <c r="L33" s="10">
        <v>11451</v>
      </c>
      <c r="M33" s="10">
        <v>72337</v>
      </c>
      <c r="N33" s="10">
        <v>9279</v>
      </c>
      <c r="O33" s="8"/>
    </row>
    <row r="34" spans="1:15" x14ac:dyDescent="0.35">
      <c r="A34" t="s">
        <v>100</v>
      </c>
      <c r="B34" t="s">
        <v>98</v>
      </c>
      <c r="C34" s="10">
        <v>82031</v>
      </c>
      <c r="D34" s="10">
        <v>34608</v>
      </c>
      <c r="E34" s="10">
        <v>34803</v>
      </c>
      <c r="F34" s="10">
        <v>104225</v>
      </c>
      <c r="G34" s="10">
        <v>72829</v>
      </c>
      <c r="H34" s="10">
        <v>93858</v>
      </c>
      <c r="I34" s="10">
        <v>67739</v>
      </c>
      <c r="J34" s="10">
        <v>54185</v>
      </c>
      <c r="K34" s="10">
        <v>104205</v>
      </c>
      <c r="L34" s="10">
        <v>35542</v>
      </c>
      <c r="M34" s="10">
        <v>40823</v>
      </c>
      <c r="N34" s="10">
        <v>55705</v>
      </c>
      <c r="O34" s="8"/>
    </row>
    <row r="35" spans="1:15" x14ac:dyDescent="0.35">
      <c r="A35" t="s">
        <v>114</v>
      </c>
      <c r="B35" t="s">
        <v>120</v>
      </c>
      <c r="C35" s="10">
        <v>61512</v>
      </c>
      <c r="D35" s="10">
        <v>104284</v>
      </c>
      <c r="E35" s="10">
        <v>79891</v>
      </c>
      <c r="F35" s="10">
        <v>28420</v>
      </c>
      <c r="G35" s="10">
        <v>46935</v>
      </c>
      <c r="H35" s="10">
        <v>54735</v>
      </c>
      <c r="I35" s="10">
        <v>45377</v>
      </c>
      <c r="J35" s="10">
        <v>13706</v>
      </c>
      <c r="K35" s="10">
        <v>47986</v>
      </c>
      <c r="L35" s="10">
        <v>82379</v>
      </c>
      <c r="M35" s="10">
        <v>76160</v>
      </c>
      <c r="N35" s="10">
        <v>6395</v>
      </c>
      <c r="O35" s="8"/>
    </row>
    <row r="36" spans="1:15" x14ac:dyDescent="0.35">
      <c r="A36" t="s">
        <v>116</v>
      </c>
      <c r="B36" t="s">
        <v>97</v>
      </c>
      <c r="C36" s="10">
        <v>98068</v>
      </c>
      <c r="D36" s="10">
        <v>11699</v>
      </c>
      <c r="E36">
        <v>59</v>
      </c>
      <c r="F36" s="10">
        <v>18395</v>
      </c>
      <c r="G36" s="10">
        <v>50890</v>
      </c>
      <c r="H36" s="10">
        <v>103840</v>
      </c>
      <c r="I36" s="10">
        <v>94305</v>
      </c>
      <c r="J36" s="10">
        <v>20213</v>
      </c>
      <c r="K36" s="10">
        <v>48696</v>
      </c>
      <c r="L36" s="10">
        <v>97670</v>
      </c>
      <c r="M36" s="10">
        <v>90250</v>
      </c>
      <c r="N36" s="10">
        <v>1509</v>
      </c>
      <c r="O36" s="8"/>
    </row>
    <row r="37" spans="1:15" x14ac:dyDescent="0.35">
      <c r="A37" t="s">
        <v>11</v>
      </c>
      <c r="B37" t="s">
        <v>97</v>
      </c>
      <c r="C37" s="10">
        <v>82385</v>
      </c>
      <c r="D37" s="10">
        <v>62663</v>
      </c>
      <c r="E37" s="10">
        <v>24740</v>
      </c>
      <c r="F37" s="10">
        <v>26044</v>
      </c>
      <c r="G37" s="10">
        <v>61431</v>
      </c>
      <c r="H37" s="10">
        <v>106302</v>
      </c>
      <c r="I37" s="10">
        <v>69182</v>
      </c>
      <c r="J37" s="10">
        <v>51736</v>
      </c>
      <c r="K37" s="10">
        <v>13237</v>
      </c>
      <c r="L37" s="10">
        <v>48709</v>
      </c>
      <c r="M37" s="10">
        <v>8823</v>
      </c>
      <c r="N37" s="10">
        <v>69353</v>
      </c>
      <c r="O37" s="8"/>
    </row>
    <row r="38" spans="1:15" x14ac:dyDescent="0.35">
      <c r="A38" t="s">
        <v>102</v>
      </c>
      <c r="B38" t="s">
        <v>120</v>
      </c>
      <c r="C38" s="10">
        <v>53904</v>
      </c>
      <c r="D38" s="10">
        <v>102656</v>
      </c>
      <c r="E38" s="10">
        <v>52000</v>
      </c>
      <c r="F38" s="10">
        <v>65845</v>
      </c>
      <c r="G38" s="10">
        <v>73588</v>
      </c>
      <c r="H38" s="10">
        <v>38499</v>
      </c>
      <c r="I38" s="10">
        <v>36427</v>
      </c>
      <c r="J38" s="10">
        <v>63113</v>
      </c>
      <c r="K38" s="10">
        <v>27616</v>
      </c>
      <c r="L38" s="10">
        <v>98955</v>
      </c>
      <c r="M38" s="10">
        <v>60655</v>
      </c>
      <c r="N38" s="10">
        <v>87194</v>
      </c>
      <c r="O38" s="8"/>
    </row>
    <row r="39" spans="1:15" x14ac:dyDescent="0.35">
      <c r="A39" t="s">
        <v>101</v>
      </c>
      <c r="B39" t="s">
        <v>97</v>
      </c>
      <c r="C39" s="10">
        <v>103233</v>
      </c>
      <c r="D39" s="10">
        <v>66779</v>
      </c>
      <c r="E39" s="10">
        <v>94153</v>
      </c>
      <c r="F39" s="10">
        <v>41720</v>
      </c>
      <c r="G39" s="10">
        <v>4624</v>
      </c>
      <c r="H39" s="10">
        <v>101849</v>
      </c>
      <c r="I39" s="10">
        <v>49943</v>
      </c>
      <c r="J39" s="10">
        <v>14136</v>
      </c>
      <c r="K39" s="10">
        <v>72456</v>
      </c>
      <c r="L39" s="10">
        <v>66296</v>
      </c>
      <c r="M39" s="10">
        <v>79523</v>
      </c>
      <c r="N39" s="10">
        <v>1477</v>
      </c>
      <c r="O39" s="8"/>
    </row>
    <row r="40" spans="1:15" x14ac:dyDescent="0.35">
      <c r="O40" s="8"/>
    </row>
    <row r="41" spans="1:15" x14ac:dyDescent="0.35">
      <c r="O41" s="8"/>
    </row>
    <row r="42" spans="1:15" x14ac:dyDescent="0.35">
      <c r="O42" s="8"/>
    </row>
    <row r="43" spans="1:15" x14ac:dyDescent="0.35">
      <c r="O43" s="8"/>
    </row>
    <row r="44" spans="1:15" x14ac:dyDescent="0.35">
      <c r="O44" s="8"/>
    </row>
    <row r="45" spans="1:15" x14ac:dyDescent="0.35">
      <c r="O45" s="8"/>
    </row>
    <row r="46" spans="1:15" x14ac:dyDescent="0.35">
      <c r="O46" s="8"/>
    </row>
    <row r="47" spans="1:15" x14ac:dyDescent="0.35">
      <c r="O47" s="8"/>
    </row>
    <row r="48" spans="1:15" x14ac:dyDescent="0.35">
      <c r="O48" s="8"/>
    </row>
    <row r="49" spans="15:15" x14ac:dyDescent="0.35">
      <c r="O49" s="8"/>
    </row>
    <row r="50" spans="15:15" x14ac:dyDescent="0.35">
      <c r="O50" s="8"/>
    </row>
    <row r="51" spans="15:15" x14ac:dyDescent="0.35">
      <c r="O51" s="8"/>
    </row>
    <row r="52" spans="15:15" x14ac:dyDescent="0.35">
      <c r="O52" s="8"/>
    </row>
    <row r="53" spans="15:15" x14ac:dyDescent="0.35">
      <c r="O53" s="8"/>
    </row>
    <row r="54" spans="15:15" x14ac:dyDescent="0.35">
      <c r="O54" s="8"/>
    </row>
    <row r="55" spans="15:15" x14ac:dyDescent="0.35">
      <c r="O55" s="8"/>
    </row>
    <row r="56" spans="15:15" x14ac:dyDescent="0.35">
      <c r="O56" s="8"/>
    </row>
    <row r="57" spans="15:15" x14ac:dyDescent="0.35">
      <c r="O57" s="8"/>
    </row>
    <row r="58" spans="15:15" x14ac:dyDescent="0.35">
      <c r="O58" s="8"/>
    </row>
    <row r="59" spans="15:15" x14ac:dyDescent="0.35">
      <c r="O59" s="8"/>
    </row>
    <row r="60" spans="15:15" x14ac:dyDescent="0.35">
      <c r="O60" s="8"/>
    </row>
    <row r="61" spans="15:15" x14ac:dyDescent="0.35">
      <c r="O61" s="8"/>
    </row>
    <row r="62" spans="15:15" x14ac:dyDescent="0.35">
      <c r="O62" s="8"/>
    </row>
    <row r="63" spans="15:15" x14ac:dyDescent="0.35">
      <c r="O63" s="8"/>
    </row>
    <row r="64" spans="15:15" x14ac:dyDescent="0.35">
      <c r="O64" s="8"/>
    </row>
    <row r="65" spans="15:15" x14ac:dyDescent="0.35">
      <c r="O65" s="8"/>
    </row>
    <row r="66" spans="15:15" x14ac:dyDescent="0.35">
      <c r="O66" s="8"/>
    </row>
    <row r="67" spans="15:15" x14ac:dyDescent="0.35">
      <c r="O67" s="8"/>
    </row>
    <row r="68" spans="15:15" x14ac:dyDescent="0.35">
      <c r="O68" s="8"/>
    </row>
    <row r="69" spans="15:15" x14ac:dyDescent="0.35">
      <c r="O69" s="8"/>
    </row>
    <row r="70" spans="15:15" x14ac:dyDescent="0.35">
      <c r="O70" s="8"/>
    </row>
    <row r="71" spans="15:15" x14ac:dyDescent="0.35">
      <c r="O71" s="8"/>
    </row>
    <row r="72" spans="15:15" x14ac:dyDescent="0.35">
      <c r="O72" s="8"/>
    </row>
    <row r="73" spans="15:15" x14ac:dyDescent="0.35">
      <c r="O73" s="8"/>
    </row>
    <row r="74" spans="15:15" x14ac:dyDescent="0.35">
      <c r="O74" s="8"/>
    </row>
    <row r="75" spans="15:15" x14ac:dyDescent="0.35">
      <c r="O75" s="8"/>
    </row>
    <row r="76" spans="15:15" x14ac:dyDescent="0.35">
      <c r="O76" s="8"/>
    </row>
    <row r="77" spans="15:15" x14ac:dyDescent="0.35">
      <c r="O77" s="8"/>
    </row>
    <row r="78" spans="15:15" x14ac:dyDescent="0.35">
      <c r="O78" s="8"/>
    </row>
    <row r="79" spans="15:15" x14ac:dyDescent="0.35">
      <c r="O79" s="8"/>
    </row>
    <row r="80" spans="15:15" x14ac:dyDescent="0.35">
      <c r="O80" s="8"/>
    </row>
    <row r="81" spans="15:15" x14ac:dyDescent="0.35">
      <c r="O81" s="8"/>
    </row>
    <row r="82" spans="15:15" x14ac:dyDescent="0.35">
      <c r="O82" s="8"/>
    </row>
    <row r="83" spans="15:15" x14ac:dyDescent="0.35">
      <c r="O83" s="8"/>
    </row>
    <row r="84" spans="15:15" x14ac:dyDescent="0.35">
      <c r="O84" s="8"/>
    </row>
    <row r="85" spans="15:15" x14ac:dyDescent="0.35">
      <c r="O85" s="8"/>
    </row>
    <row r="86" spans="15:15" x14ac:dyDescent="0.35">
      <c r="O86" s="8"/>
    </row>
    <row r="87" spans="15:15" x14ac:dyDescent="0.35">
      <c r="O87" s="8"/>
    </row>
    <row r="88" spans="15:15" x14ac:dyDescent="0.35">
      <c r="O88" s="8"/>
    </row>
    <row r="89" spans="15:15" x14ac:dyDescent="0.35">
      <c r="O89" s="8"/>
    </row>
    <row r="90" spans="15:15" x14ac:dyDescent="0.35">
      <c r="O90" s="8"/>
    </row>
    <row r="91" spans="15:15" x14ac:dyDescent="0.35">
      <c r="O91" s="8"/>
    </row>
    <row r="92" spans="15:15" x14ac:dyDescent="0.35">
      <c r="O92" s="8"/>
    </row>
    <row r="93" spans="15:15" x14ac:dyDescent="0.35">
      <c r="O93" s="8"/>
    </row>
    <row r="94" spans="15:15" x14ac:dyDescent="0.35">
      <c r="O94" s="8"/>
    </row>
    <row r="95" spans="15:15" x14ac:dyDescent="0.35">
      <c r="O95" s="8"/>
    </row>
    <row r="96" spans="15:15" x14ac:dyDescent="0.35">
      <c r="O96" s="8"/>
    </row>
    <row r="97" spans="15:15" x14ac:dyDescent="0.35">
      <c r="O97" s="8"/>
    </row>
    <row r="98" spans="15:15" x14ac:dyDescent="0.35">
      <c r="O98" s="8"/>
    </row>
    <row r="99" spans="15:15" x14ac:dyDescent="0.35">
      <c r="O99" s="8"/>
    </row>
    <row r="100" spans="15:15" x14ac:dyDescent="0.35">
      <c r="O1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F1DB-FA7A-4B3F-9232-EBAB7C573038}">
  <dimension ref="A1:T100"/>
  <sheetViews>
    <sheetView workbookViewId="0">
      <selection activeCell="O1" sqref="O1:O1048576"/>
    </sheetView>
  </sheetViews>
  <sheetFormatPr defaultRowHeight="14.5" x14ac:dyDescent="0.35"/>
  <cols>
    <col min="2" max="2" width="12.6328125" customWidth="1"/>
    <col min="3" max="14" width="11" style="6" bestFit="1" customWidth="1"/>
    <col min="15" max="15" width="8.453125" bestFit="1" customWidth="1"/>
  </cols>
  <sheetData>
    <row r="1" spans="1:20" s="3" customFormat="1" x14ac:dyDescent="0.35">
      <c r="A1" s="3" t="s">
        <v>83</v>
      </c>
      <c r="B1" s="3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/>
      <c r="Q1"/>
      <c r="S1"/>
      <c r="T1"/>
    </row>
    <row r="2" spans="1:20" x14ac:dyDescent="0.35">
      <c r="A2" t="s">
        <v>114</v>
      </c>
      <c r="B2" t="s">
        <v>97</v>
      </c>
      <c r="C2">
        <v>85576</v>
      </c>
      <c r="D2">
        <v>83179</v>
      </c>
      <c r="E2">
        <v>43987</v>
      </c>
      <c r="F2">
        <v>46761</v>
      </c>
      <c r="G2">
        <v>18441</v>
      </c>
      <c r="H2">
        <v>84378</v>
      </c>
      <c r="I2">
        <v>35852</v>
      </c>
      <c r="J2">
        <v>36721</v>
      </c>
      <c r="K2">
        <v>89058</v>
      </c>
      <c r="L2">
        <v>399</v>
      </c>
      <c r="M2">
        <v>47572</v>
      </c>
      <c r="O2" s="8"/>
    </row>
    <row r="3" spans="1:20" x14ac:dyDescent="0.35">
      <c r="A3" t="s">
        <v>11</v>
      </c>
      <c r="B3" t="s">
        <v>119</v>
      </c>
      <c r="C3">
        <v>62103</v>
      </c>
      <c r="D3">
        <v>22434</v>
      </c>
      <c r="E3">
        <v>43703</v>
      </c>
      <c r="F3">
        <v>80641</v>
      </c>
      <c r="G3">
        <v>24230</v>
      </c>
      <c r="H3">
        <v>18096</v>
      </c>
      <c r="I3">
        <v>28022</v>
      </c>
      <c r="J3">
        <v>97357</v>
      </c>
      <c r="K3">
        <v>79984</v>
      </c>
      <c r="L3">
        <v>31792</v>
      </c>
      <c r="M3">
        <v>49187</v>
      </c>
      <c r="O3" s="8"/>
    </row>
    <row r="4" spans="1:20" x14ac:dyDescent="0.35">
      <c r="A4" t="s">
        <v>118</v>
      </c>
      <c r="B4" t="s">
        <v>119</v>
      </c>
      <c r="C4">
        <v>12790</v>
      </c>
      <c r="D4">
        <v>17079</v>
      </c>
      <c r="E4">
        <v>37030</v>
      </c>
      <c r="F4">
        <v>95657</v>
      </c>
      <c r="G4">
        <v>59141</v>
      </c>
      <c r="H4">
        <v>37526</v>
      </c>
      <c r="I4">
        <v>26964</v>
      </c>
      <c r="J4">
        <v>19321</v>
      </c>
      <c r="K4">
        <v>17404</v>
      </c>
      <c r="L4">
        <v>69521</v>
      </c>
      <c r="M4">
        <v>46793</v>
      </c>
      <c r="O4" s="8"/>
    </row>
    <row r="5" spans="1:20" x14ac:dyDescent="0.35">
      <c r="A5" t="s">
        <v>116</v>
      </c>
      <c r="B5" t="s">
        <v>120</v>
      </c>
      <c r="C5">
        <v>62697</v>
      </c>
      <c r="D5">
        <v>6087</v>
      </c>
      <c r="E5">
        <v>17642</v>
      </c>
      <c r="F5">
        <v>78030</v>
      </c>
      <c r="G5">
        <v>66430</v>
      </c>
      <c r="H5">
        <v>97798</v>
      </c>
      <c r="I5">
        <v>39314</v>
      </c>
      <c r="J5">
        <v>35120</v>
      </c>
      <c r="K5">
        <v>69732</v>
      </c>
      <c r="L5">
        <v>34919</v>
      </c>
      <c r="M5">
        <v>25771</v>
      </c>
      <c r="O5" s="8"/>
    </row>
    <row r="6" spans="1:20" x14ac:dyDescent="0.35">
      <c r="A6" t="s">
        <v>117</v>
      </c>
      <c r="B6" t="s">
        <v>98</v>
      </c>
      <c r="C6">
        <v>40534</v>
      </c>
      <c r="D6">
        <v>25371</v>
      </c>
      <c r="E6">
        <v>63307</v>
      </c>
      <c r="F6">
        <v>70284</v>
      </c>
      <c r="G6">
        <v>14580</v>
      </c>
      <c r="H6">
        <v>61248</v>
      </c>
      <c r="I6">
        <v>4731</v>
      </c>
      <c r="J6">
        <v>5744</v>
      </c>
      <c r="K6">
        <v>23965</v>
      </c>
      <c r="L6">
        <v>45809</v>
      </c>
      <c r="M6">
        <v>65650</v>
      </c>
      <c r="O6" s="8"/>
    </row>
    <row r="7" spans="1:20" x14ac:dyDescent="0.35">
      <c r="A7" t="s">
        <v>116</v>
      </c>
      <c r="B7" t="s">
        <v>119</v>
      </c>
      <c r="C7">
        <v>2040</v>
      </c>
      <c r="D7">
        <v>49460</v>
      </c>
      <c r="E7">
        <v>27820</v>
      </c>
      <c r="F7">
        <v>30561</v>
      </c>
      <c r="G7">
        <v>57945</v>
      </c>
      <c r="H7">
        <v>50720</v>
      </c>
      <c r="I7">
        <v>65968</v>
      </c>
      <c r="J7">
        <v>26689</v>
      </c>
      <c r="K7">
        <v>4529</v>
      </c>
      <c r="L7">
        <v>47092</v>
      </c>
      <c r="M7">
        <v>3416</v>
      </c>
      <c r="O7" s="8"/>
    </row>
    <row r="8" spans="1:20" x14ac:dyDescent="0.35">
      <c r="A8" t="s">
        <v>11</v>
      </c>
      <c r="B8" t="s">
        <v>98</v>
      </c>
      <c r="C8">
        <v>75184</v>
      </c>
      <c r="D8">
        <v>78447</v>
      </c>
      <c r="E8">
        <v>55200</v>
      </c>
      <c r="F8">
        <v>14112</v>
      </c>
      <c r="G8">
        <v>83472</v>
      </c>
      <c r="H8">
        <v>27065</v>
      </c>
      <c r="I8">
        <v>27958</v>
      </c>
      <c r="J8">
        <v>98188</v>
      </c>
      <c r="K8">
        <v>36046</v>
      </c>
      <c r="L8">
        <v>76443</v>
      </c>
      <c r="M8">
        <v>88170</v>
      </c>
      <c r="O8" s="8"/>
    </row>
    <row r="9" spans="1:20" x14ac:dyDescent="0.35">
      <c r="A9" t="s">
        <v>114</v>
      </c>
      <c r="B9" t="s">
        <v>120</v>
      </c>
      <c r="C9">
        <v>24512</v>
      </c>
      <c r="D9">
        <v>47551</v>
      </c>
      <c r="E9">
        <v>12787</v>
      </c>
      <c r="F9">
        <v>51267</v>
      </c>
      <c r="G9">
        <v>15518</v>
      </c>
      <c r="H9">
        <v>48335</v>
      </c>
      <c r="I9">
        <v>74564</v>
      </c>
      <c r="J9">
        <v>93865</v>
      </c>
      <c r="K9">
        <v>84120</v>
      </c>
      <c r="L9">
        <v>29609</v>
      </c>
      <c r="M9">
        <v>35836</v>
      </c>
      <c r="O9" s="8"/>
    </row>
    <row r="10" spans="1:20" x14ac:dyDescent="0.35">
      <c r="A10" t="s">
        <v>116</v>
      </c>
      <c r="B10" t="s">
        <v>98</v>
      </c>
      <c r="C10">
        <v>2166</v>
      </c>
      <c r="D10">
        <v>61813</v>
      </c>
      <c r="E10">
        <v>48075</v>
      </c>
      <c r="F10">
        <v>59678</v>
      </c>
      <c r="G10">
        <v>79746</v>
      </c>
      <c r="H10">
        <v>34915</v>
      </c>
      <c r="I10">
        <v>20624</v>
      </c>
      <c r="J10">
        <v>87149</v>
      </c>
      <c r="K10">
        <v>21793</v>
      </c>
      <c r="L10">
        <v>71435</v>
      </c>
      <c r="M10">
        <v>17258</v>
      </c>
      <c r="O10" s="8"/>
    </row>
    <row r="11" spans="1:20" x14ac:dyDescent="0.35">
      <c r="A11" t="s">
        <v>113</v>
      </c>
      <c r="B11" t="s">
        <v>97</v>
      </c>
      <c r="C11">
        <v>23732</v>
      </c>
      <c r="D11">
        <v>89035</v>
      </c>
      <c r="E11">
        <v>69362</v>
      </c>
      <c r="F11">
        <v>94433</v>
      </c>
      <c r="G11">
        <v>28942</v>
      </c>
      <c r="H11">
        <v>62043</v>
      </c>
      <c r="I11">
        <v>35597</v>
      </c>
      <c r="J11">
        <v>54787</v>
      </c>
      <c r="K11">
        <v>18837</v>
      </c>
      <c r="L11">
        <v>65020</v>
      </c>
      <c r="M11">
        <v>87738</v>
      </c>
      <c r="O11" s="8"/>
    </row>
    <row r="12" spans="1:20" x14ac:dyDescent="0.35">
      <c r="A12" t="s">
        <v>118</v>
      </c>
      <c r="B12" t="s">
        <v>98</v>
      </c>
      <c r="C12">
        <v>66156</v>
      </c>
      <c r="D12">
        <v>85686</v>
      </c>
      <c r="E12">
        <v>58799</v>
      </c>
      <c r="F12">
        <v>49513</v>
      </c>
      <c r="G12">
        <v>45704</v>
      </c>
      <c r="H12">
        <v>32649</v>
      </c>
      <c r="I12">
        <v>72168</v>
      </c>
      <c r="J12">
        <v>20873</v>
      </c>
      <c r="K12">
        <v>3943</v>
      </c>
      <c r="L12">
        <v>44577</v>
      </c>
      <c r="M12">
        <v>38102</v>
      </c>
      <c r="O12" s="8"/>
    </row>
    <row r="13" spans="1:20" x14ac:dyDescent="0.35">
      <c r="A13" t="s">
        <v>118</v>
      </c>
      <c r="B13" t="s">
        <v>97</v>
      </c>
      <c r="C13">
        <v>83650</v>
      </c>
      <c r="D13">
        <v>60342</v>
      </c>
      <c r="E13">
        <v>2990</v>
      </c>
      <c r="F13">
        <v>73325</v>
      </c>
      <c r="G13">
        <v>48420</v>
      </c>
      <c r="H13">
        <v>1716</v>
      </c>
      <c r="I13">
        <v>45910</v>
      </c>
      <c r="J13">
        <v>17938</v>
      </c>
      <c r="K13">
        <v>94153</v>
      </c>
      <c r="L13">
        <v>6773</v>
      </c>
      <c r="M13">
        <v>98630</v>
      </c>
      <c r="O13" s="8"/>
    </row>
    <row r="14" spans="1:20" x14ac:dyDescent="0.35">
      <c r="A14" t="s">
        <v>118</v>
      </c>
      <c r="B14" t="s">
        <v>120</v>
      </c>
      <c r="C14">
        <v>82503</v>
      </c>
      <c r="D14">
        <v>64453</v>
      </c>
      <c r="E14">
        <v>62780</v>
      </c>
      <c r="F14">
        <v>28908</v>
      </c>
      <c r="G14">
        <v>68440</v>
      </c>
      <c r="H14">
        <v>85911</v>
      </c>
      <c r="I14">
        <v>74317</v>
      </c>
      <c r="J14">
        <v>78292</v>
      </c>
      <c r="K14">
        <v>78557</v>
      </c>
      <c r="L14">
        <v>19044</v>
      </c>
      <c r="M14">
        <v>44622</v>
      </c>
      <c r="O14" s="8"/>
    </row>
    <row r="15" spans="1:20" x14ac:dyDescent="0.35">
      <c r="A15" t="s">
        <v>11</v>
      </c>
      <c r="B15" t="s">
        <v>120</v>
      </c>
      <c r="C15">
        <v>94145</v>
      </c>
      <c r="D15">
        <v>70751</v>
      </c>
      <c r="E15">
        <v>11129</v>
      </c>
      <c r="F15">
        <v>25587</v>
      </c>
      <c r="G15">
        <v>79279</v>
      </c>
      <c r="H15">
        <v>87447</v>
      </c>
      <c r="I15">
        <v>78043</v>
      </c>
      <c r="J15">
        <v>40809</v>
      </c>
      <c r="K15">
        <v>27924</v>
      </c>
      <c r="L15">
        <v>94122</v>
      </c>
      <c r="M15">
        <v>26390</v>
      </c>
      <c r="O15" s="8"/>
    </row>
    <row r="16" spans="1:20" x14ac:dyDescent="0.35">
      <c r="A16" t="s">
        <v>115</v>
      </c>
      <c r="B16" t="s">
        <v>120</v>
      </c>
      <c r="C16">
        <v>54992</v>
      </c>
      <c r="D16">
        <v>92572</v>
      </c>
      <c r="E16">
        <v>97244</v>
      </c>
      <c r="F16">
        <v>97088</v>
      </c>
      <c r="G16">
        <v>62375</v>
      </c>
      <c r="H16">
        <v>76426</v>
      </c>
      <c r="I16">
        <v>49785</v>
      </c>
      <c r="J16">
        <v>85213</v>
      </c>
      <c r="K16">
        <v>84707</v>
      </c>
      <c r="L16">
        <v>79214</v>
      </c>
      <c r="M16">
        <v>81882</v>
      </c>
      <c r="O16" s="8"/>
    </row>
    <row r="17" spans="1:15" x14ac:dyDescent="0.35">
      <c r="A17" t="s">
        <v>117</v>
      </c>
      <c r="B17" t="s">
        <v>97</v>
      </c>
      <c r="C17">
        <v>15553</v>
      </c>
      <c r="D17">
        <v>77087</v>
      </c>
      <c r="E17">
        <v>55754</v>
      </c>
      <c r="F17">
        <v>78635</v>
      </c>
      <c r="G17">
        <v>72966</v>
      </c>
      <c r="H17">
        <v>52762</v>
      </c>
      <c r="I17">
        <v>80708</v>
      </c>
      <c r="J17">
        <v>66611</v>
      </c>
      <c r="K17">
        <v>67449</v>
      </c>
      <c r="L17">
        <v>19783</v>
      </c>
      <c r="M17">
        <v>76063</v>
      </c>
      <c r="O17" s="8"/>
    </row>
    <row r="18" spans="1:15" x14ac:dyDescent="0.35">
      <c r="A18" t="s">
        <v>115</v>
      </c>
      <c r="B18" t="s">
        <v>98</v>
      </c>
      <c r="C18">
        <v>58302</v>
      </c>
      <c r="D18">
        <v>79212</v>
      </c>
      <c r="E18">
        <v>76248</v>
      </c>
      <c r="F18">
        <v>84868</v>
      </c>
      <c r="G18">
        <v>50831</v>
      </c>
      <c r="H18">
        <v>81194</v>
      </c>
      <c r="I18">
        <v>89016</v>
      </c>
      <c r="J18">
        <v>36924</v>
      </c>
      <c r="K18">
        <v>5047</v>
      </c>
      <c r="L18">
        <v>4413</v>
      </c>
      <c r="M18">
        <v>16158</v>
      </c>
      <c r="O18" s="8"/>
    </row>
    <row r="19" spans="1:15" x14ac:dyDescent="0.35">
      <c r="A19" t="s">
        <v>113</v>
      </c>
      <c r="B19" t="s">
        <v>120</v>
      </c>
      <c r="C19">
        <v>69705</v>
      </c>
      <c r="D19">
        <v>71101</v>
      </c>
      <c r="E19">
        <v>57636</v>
      </c>
      <c r="F19">
        <v>46098</v>
      </c>
      <c r="G19">
        <v>23030</v>
      </c>
      <c r="H19">
        <v>75146</v>
      </c>
      <c r="I19">
        <v>55720</v>
      </c>
      <c r="J19">
        <v>46455</v>
      </c>
      <c r="K19">
        <v>19681</v>
      </c>
      <c r="L19">
        <v>1409</v>
      </c>
      <c r="M19">
        <v>2221</v>
      </c>
      <c r="O19" s="8"/>
    </row>
    <row r="20" spans="1:15" x14ac:dyDescent="0.35">
      <c r="A20" t="s">
        <v>115</v>
      </c>
      <c r="B20" t="s">
        <v>97</v>
      </c>
      <c r="C20">
        <v>37289</v>
      </c>
      <c r="D20">
        <v>9903</v>
      </c>
      <c r="E20">
        <v>37181</v>
      </c>
      <c r="F20">
        <v>17306</v>
      </c>
      <c r="G20">
        <v>83896</v>
      </c>
      <c r="H20">
        <v>59878</v>
      </c>
      <c r="I20">
        <v>48868</v>
      </c>
      <c r="J20">
        <v>74897</v>
      </c>
      <c r="K20">
        <v>43181</v>
      </c>
      <c r="L20">
        <v>6309</v>
      </c>
      <c r="M20">
        <v>51457</v>
      </c>
      <c r="O20" s="8"/>
    </row>
    <row r="21" spans="1:15" x14ac:dyDescent="0.35">
      <c r="A21" t="s">
        <v>117</v>
      </c>
      <c r="B21" t="s">
        <v>120</v>
      </c>
      <c r="C21">
        <v>23763</v>
      </c>
      <c r="D21">
        <v>54119</v>
      </c>
      <c r="E21">
        <v>27191</v>
      </c>
      <c r="F21">
        <v>6364</v>
      </c>
      <c r="G21">
        <v>46632</v>
      </c>
      <c r="H21">
        <v>59820</v>
      </c>
      <c r="I21">
        <v>16223</v>
      </c>
      <c r="J21">
        <v>26059</v>
      </c>
      <c r="K21">
        <v>97454</v>
      </c>
      <c r="L21">
        <v>41677</v>
      </c>
      <c r="M21">
        <v>91579</v>
      </c>
      <c r="O21" s="8"/>
    </row>
    <row r="22" spans="1:15" x14ac:dyDescent="0.35">
      <c r="A22" t="s">
        <v>116</v>
      </c>
      <c r="B22" t="s">
        <v>97</v>
      </c>
      <c r="C22">
        <v>91833</v>
      </c>
      <c r="D22">
        <v>83620</v>
      </c>
      <c r="E22">
        <v>57417</v>
      </c>
      <c r="F22">
        <v>2093</v>
      </c>
      <c r="G22">
        <v>20577</v>
      </c>
      <c r="H22">
        <v>73526</v>
      </c>
      <c r="I22">
        <v>60807</v>
      </c>
      <c r="J22">
        <v>43825</v>
      </c>
      <c r="K22">
        <v>87396</v>
      </c>
      <c r="L22">
        <v>86701</v>
      </c>
      <c r="M22">
        <v>72414</v>
      </c>
      <c r="O22" s="8"/>
    </row>
    <row r="23" spans="1:15" x14ac:dyDescent="0.35">
      <c r="A23" t="s">
        <v>11</v>
      </c>
      <c r="B23" t="s">
        <v>97</v>
      </c>
      <c r="C23">
        <v>95436</v>
      </c>
      <c r="D23">
        <v>16433</v>
      </c>
      <c r="E23">
        <v>80340</v>
      </c>
      <c r="F23">
        <v>36507</v>
      </c>
      <c r="G23">
        <v>51988</v>
      </c>
      <c r="H23">
        <v>45197</v>
      </c>
      <c r="I23">
        <v>43348</v>
      </c>
      <c r="J23">
        <v>28761</v>
      </c>
      <c r="K23">
        <v>98364</v>
      </c>
      <c r="L23">
        <v>89709</v>
      </c>
      <c r="M23">
        <v>13877</v>
      </c>
      <c r="O23" s="8"/>
    </row>
    <row r="24" spans="1:15" x14ac:dyDescent="0.35">
      <c r="A24" t="s">
        <v>115</v>
      </c>
      <c r="B24" t="s">
        <v>119</v>
      </c>
      <c r="C24">
        <v>69819</v>
      </c>
      <c r="D24">
        <v>64235</v>
      </c>
      <c r="E24">
        <v>86152</v>
      </c>
      <c r="F24">
        <v>35349</v>
      </c>
      <c r="G24">
        <v>41832</v>
      </c>
      <c r="H24">
        <v>78559</v>
      </c>
      <c r="I24">
        <v>58599</v>
      </c>
      <c r="J24">
        <v>14934</v>
      </c>
      <c r="K24">
        <v>46329</v>
      </c>
      <c r="L24">
        <v>68003</v>
      </c>
      <c r="M24">
        <v>14469</v>
      </c>
      <c r="O24" s="8"/>
    </row>
    <row r="25" spans="1:15" x14ac:dyDescent="0.35">
      <c r="A25" t="s">
        <v>113</v>
      </c>
      <c r="B25" t="s">
        <v>98</v>
      </c>
      <c r="C25">
        <v>59020</v>
      </c>
      <c r="D25">
        <v>21786</v>
      </c>
      <c r="E25">
        <v>16695</v>
      </c>
      <c r="F25">
        <v>99301</v>
      </c>
      <c r="G25">
        <v>36685</v>
      </c>
      <c r="H25">
        <v>99807</v>
      </c>
      <c r="I25">
        <v>22467</v>
      </c>
      <c r="J25">
        <v>81323</v>
      </c>
      <c r="K25">
        <v>12586</v>
      </c>
      <c r="L25">
        <v>517</v>
      </c>
      <c r="M25">
        <v>5895</v>
      </c>
      <c r="O25" s="8"/>
    </row>
    <row r="26" spans="1:15" x14ac:dyDescent="0.35">
      <c r="A26" t="s">
        <v>114</v>
      </c>
      <c r="B26" t="s">
        <v>119</v>
      </c>
      <c r="C26">
        <v>10189</v>
      </c>
      <c r="D26">
        <v>55760</v>
      </c>
      <c r="E26">
        <v>41863</v>
      </c>
      <c r="F26">
        <v>62878</v>
      </c>
      <c r="G26">
        <v>82935</v>
      </c>
      <c r="H26">
        <v>96556</v>
      </c>
      <c r="I26">
        <v>53991</v>
      </c>
      <c r="J26">
        <v>52087</v>
      </c>
      <c r="K26">
        <v>72744</v>
      </c>
      <c r="L26">
        <v>75907</v>
      </c>
      <c r="M26">
        <v>77089</v>
      </c>
      <c r="O26" s="8"/>
    </row>
    <row r="27" spans="1:15" x14ac:dyDescent="0.35">
      <c r="A27" t="s">
        <v>113</v>
      </c>
      <c r="B27" t="s">
        <v>119</v>
      </c>
      <c r="C27">
        <v>93362</v>
      </c>
      <c r="D27">
        <v>49744</v>
      </c>
      <c r="E27">
        <v>2467</v>
      </c>
      <c r="F27">
        <v>70069</v>
      </c>
      <c r="G27">
        <v>13902</v>
      </c>
      <c r="H27">
        <v>70579</v>
      </c>
      <c r="I27">
        <v>48853</v>
      </c>
      <c r="J27">
        <v>54099</v>
      </c>
      <c r="K27">
        <v>26555</v>
      </c>
      <c r="L27">
        <v>56277</v>
      </c>
      <c r="M27">
        <v>36654</v>
      </c>
      <c r="O27" s="8"/>
    </row>
    <row r="28" spans="1:15" x14ac:dyDescent="0.35">
      <c r="A28" t="s">
        <v>117</v>
      </c>
      <c r="B28" t="s">
        <v>119</v>
      </c>
      <c r="C28">
        <v>44290</v>
      </c>
      <c r="D28">
        <v>48498</v>
      </c>
      <c r="E28">
        <v>24444</v>
      </c>
      <c r="F28">
        <v>73072</v>
      </c>
      <c r="G28">
        <v>65642</v>
      </c>
      <c r="H28">
        <v>57768</v>
      </c>
      <c r="I28">
        <v>94158</v>
      </c>
      <c r="J28">
        <v>46250</v>
      </c>
      <c r="K28">
        <v>49466</v>
      </c>
      <c r="L28">
        <v>25549</v>
      </c>
      <c r="M28">
        <v>79042</v>
      </c>
      <c r="O28" s="8"/>
    </row>
    <row r="29" spans="1:15" x14ac:dyDescent="0.35">
      <c r="O29" s="8"/>
    </row>
    <row r="30" spans="1:15" x14ac:dyDescent="0.35">
      <c r="O30" s="8"/>
    </row>
    <row r="31" spans="1:15" x14ac:dyDescent="0.35">
      <c r="O31" s="8"/>
    </row>
    <row r="32" spans="1:15" x14ac:dyDescent="0.35">
      <c r="O32" s="8"/>
    </row>
    <row r="33" spans="15:15" x14ac:dyDescent="0.35">
      <c r="O33" s="8"/>
    </row>
    <row r="34" spans="15:15" x14ac:dyDescent="0.35">
      <c r="O34" s="8"/>
    </row>
    <row r="35" spans="15:15" x14ac:dyDescent="0.35">
      <c r="O35" s="8"/>
    </row>
    <row r="36" spans="15:15" x14ac:dyDescent="0.35">
      <c r="O36" s="8"/>
    </row>
    <row r="37" spans="15:15" x14ac:dyDescent="0.35">
      <c r="O37" s="8"/>
    </row>
    <row r="38" spans="15:15" x14ac:dyDescent="0.35">
      <c r="O38" s="8"/>
    </row>
    <row r="39" spans="15:15" x14ac:dyDescent="0.35">
      <c r="O39" s="8"/>
    </row>
    <row r="40" spans="15:15" x14ac:dyDescent="0.35">
      <c r="O40" s="8"/>
    </row>
    <row r="41" spans="15:15" x14ac:dyDescent="0.35">
      <c r="O41" s="8"/>
    </row>
    <row r="42" spans="15:15" x14ac:dyDescent="0.35">
      <c r="O42" s="8"/>
    </row>
    <row r="43" spans="15:15" x14ac:dyDescent="0.35">
      <c r="O43" s="8"/>
    </row>
    <row r="44" spans="15:15" x14ac:dyDescent="0.35">
      <c r="O44" s="8"/>
    </row>
    <row r="45" spans="15:15" x14ac:dyDescent="0.35">
      <c r="O45" s="8"/>
    </row>
    <row r="46" spans="15:15" x14ac:dyDescent="0.35">
      <c r="O46" s="8"/>
    </row>
    <row r="47" spans="15:15" x14ac:dyDescent="0.35">
      <c r="O47" s="8"/>
    </row>
    <row r="48" spans="15:15" x14ac:dyDescent="0.35">
      <c r="O48" s="8"/>
    </row>
    <row r="49" spans="15:15" x14ac:dyDescent="0.35">
      <c r="O49" s="8"/>
    </row>
    <row r="50" spans="15:15" x14ac:dyDescent="0.35">
      <c r="O50" s="8"/>
    </row>
    <row r="51" spans="15:15" x14ac:dyDescent="0.35">
      <c r="O51" s="8"/>
    </row>
    <row r="52" spans="15:15" x14ac:dyDescent="0.35">
      <c r="O52" s="8"/>
    </row>
    <row r="53" spans="15:15" x14ac:dyDescent="0.35">
      <c r="O53" s="8"/>
    </row>
    <row r="54" spans="15:15" x14ac:dyDescent="0.35">
      <c r="O54" s="8"/>
    </row>
    <row r="55" spans="15:15" x14ac:dyDescent="0.35">
      <c r="O55" s="8"/>
    </row>
    <row r="56" spans="15:15" x14ac:dyDescent="0.35">
      <c r="O56" s="8"/>
    </row>
    <row r="57" spans="15:15" x14ac:dyDescent="0.35">
      <c r="O57" s="8"/>
    </row>
    <row r="58" spans="15:15" x14ac:dyDescent="0.35">
      <c r="O58" s="8"/>
    </row>
    <row r="59" spans="15:15" x14ac:dyDescent="0.35">
      <c r="O59" s="8"/>
    </row>
    <row r="60" spans="15:15" x14ac:dyDescent="0.35">
      <c r="O60" s="8"/>
    </row>
    <row r="61" spans="15:15" x14ac:dyDescent="0.35">
      <c r="O61" s="8"/>
    </row>
    <row r="62" spans="15:15" x14ac:dyDescent="0.35">
      <c r="O62" s="8"/>
    </row>
    <row r="63" spans="15:15" x14ac:dyDescent="0.35">
      <c r="O63" s="8"/>
    </row>
    <row r="64" spans="15:15" x14ac:dyDescent="0.35">
      <c r="O64" s="8"/>
    </row>
    <row r="65" spans="15:15" x14ac:dyDescent="0.35">
      <c r="O65" s="8"/>
    </row>
    <row r="66" spans="15:15" x14ac:dyDescent="0.35">
      <c r="O66" s="8"/>
    </row>
    <row r="67" spans="15:15" x14ac:dyDescent="0.35">
      <c r="O67" s="8"/>
    </row>
    <row r="68" spans="15:15" x14ac:dyDescent="0.35">
      <c r="O68" s="8"/>
    </row>
    <row r="69" spans="15:15" x14ac:dyDescent="0.35">
      <c r="O69" s="8"/>
    </row>
    <row r="70" spans="15:15" x14ac:dyDescent="0.35">
      <c r="O70" s="8"/>
    </row>
    <row r="71" spans="15:15" x14ac:dyDescent="0.35">
      <c r="O71" s="8"/>
    </row>
    <row r="72" spans="15:15" x14ac:dyDescent="0.35">
      <c r="O72" s="8"/>
    </row>
    <row r="73" spans="15:15" x14ac:dyDescent="0.35">
      <c r="O73" s="8"/>
    </row>
    <row r="74" spans="15:15" x14ac:dyDescent="0.35">
      <c r="O74" s="8"/>
    </row>
    <row r="75" spans="15:15" x14ac:dyDescent="0.35">
      <c r="O75" s="8"/>
    </row>
    <row r="76" spans="15:15" x14ac:dyDescent="0.35">
      <c r="O76" s="8"/>
    </row>
    <row r="77" spans="15:15" x14ac:dyDescent="0.35">
      <c r="O77" s="8"/>
    </row>
    <row r="78" spans="15:15" x14ac:dyDescent="0.35">
      <c r="O78" s="8"/>
    </row>
    <row r="79" spans="15:15" x14ac:dyDescent="0.35">
      <c r="O79" s="8"/>
    </row>
    <row r="80" spans="15:15" x14ac:dyDescent="0.35">
      <c r="O80" s="8"/>
    </row>
    <row r="81" spans="15:15" x14ac:dyDescent="0.35">
      <c r="O81" s="8"/>
    </row>
    <row r="82" spans="15:15" x14ac:dyDescent="0.35">
      <c r="O82" s="8"/>
    </row>
    <row r="83" spans="15:15" x14ac:dyDescent="0.35">
      <c r="O83" s="8"/>
    </row>
    <row r="84" spans="15:15" x14ac:dyDescent="0.35">
      <c r="O84" s="8"/>
    </row>
    <row r="85" spans="15:15" x14ac:dyDescent="0.35">
      <c r="O85" s="8"/>
    </row>
    <row r="86" spans="15:15" x14ac:dyDescent="0.35">
      <c r="O86" s="8"/>
    </row>
    <row r="87" spans="15:15" x14ac:dyDescent="0.35">
      <c r="O87" s="8"/>
    </row>
    <row r="88" spans="15:15" x14ac:dyDescent="0.35">
      <c r="O88" s="8"/>
    </row>
    <row r="89" spans="15:15" x14ac:dyDescent="0.35">
      <c r="O89" s="8"/>
    </row>
    <row r="90" spans="15:15" x14ac:dyDescent="0.35">
      <c r="O90" s="8"/>
    </row>
    <row r="91" spans="15:15" x14ac:dyDescent="0.35">
      <c r="O91" s="8"/>
    </row>
    <row r="92" spans="15:15" x14ac:dyDescent="0.35">
      <c r="O92" s="8"/>
    </row>
    <row r="93" spans="15:15" x14ac:dyDescent="0.35">
      <c r="O93" s="8"/>
    </row>
    <row r="94" spans="15:15" x14ac:dyDescent="0.35">
      <c r="O94" s="8"/>
    </row>
    <row r="95" spans="15:15" x14ac:dyDescent="0.35">
      <c r="O95" s="8"/>
    </row>
    <row r="96" spans="15:15" x14ac:dyDescent="0.35">
      <c r="O96" s="8"/>
    </row>
    <row r="97" spans="15:15" x14ac:dyDescent="0.35">
      <c r="O97" s="8"/>
    </row>
    <row r="98" spans="15:15" x14ac:dyDescent="0.35">
      <c r="O98" s="8"/>
    </row>
    <row r="99" spans="15:15" x14ac:dyDescent="0.35">
      <c r="O99" s="8"/>
    </row>
    <row r="100" spans="15:15" x14ac:dyDescent="0.35">
      <c r="O100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1CCA-C3EE-485E-94A9-92F77338B1E9}">
  <dimension ref="A1:X152"/>
  <sheetViews>
    <sheetView topLeftCell="L1" workbookViewId="0">
      <selection activeCell="T18" sqref="T18"/>
    </sheetView>
  </sheetViews>
  <sheetFormatPr defaultRowHeight="14.5" x14ac:dyDescent="0.35"/>
  <cols>
    <col min="1" max="1" width="10.08984375" bestFit="1" customWidth="1"/>
    <col min="3" max="15" width="9.54296875" style="6" bestFit="1" customWidth="1"/>
    <col min="16" max="16" width="8.453125" style="6" customWidth="1"/>
    <col min="19" max="19" width="20.1796875" bestFit="1" customWidth="1"/>
    <col min="20" max="20" width="16.1796875" bestFit="1" customWidth="1"/>
    <col min="21" max="24" width="10.81640625" bestFit="1" customWidth="1"/>
    <col min="27" max="27" width="12.08984375" bestFit="1" customWidth="1"/>
  </cols>
  <sheetData>
    <row r="1" spans="1:24" x14ac:dyDescent="0.35">
      <c r="C1" s="11">
        <v>45352</v>
      </c>
      <c r="D1" s="11">
        <f>EOMONTH(C1,1)</f>
        <v>45412</v>
      </c>
      <c r="E1" s="11">
        <f t="shared" ref="E1:N1" si="0">EOMONTH(D1,1)</f>
        <v>45443</v>
      </c>
      <c r="F1" s="11">
        <f t="shared" si="0"/>
        <v>45473</v>
      </c>
      <c r="G1" s="11">
        <f t="shared" si="0"/>
        <v>45504</v>
      </c>
      <c r="H1" s="11">
        <f t="shared" si="0"/>
        <v>45535</v>
      </c>
      <c r="I1" s="11">
        <f t="shared" si="0"/>
        <v>45565</v>
      </c>
      <c r="J1" s="11">
        <f t="shared" si="0"/>
        <v>45596</v>
      </c>
      <c r="K1" s="11">
        <f t="shared" si="0"/>
        <v>45626</v>
      </c>
      <c r="L1" s="11">
        <f t="shared" si="0"/>
        <v>45657</v>
      </c>
      <c r="M1" s="11">
        <f t="shared" si="0"/>
        <v>45688</v>
      </c>
      <c r="N1" s="11">
        <f t="shared" si="0"/>
        <v>45716</v>
      </c>
      <c r="O1" s="11"/>
    </row>
    <row r="2" spans="1:24" x14ac:dyDescent="0.35">
      <c r="A2" s="3" t="s">
        <v>83</v>
      </c>
      <c r="B2" s="3" t="s">
        <v>84</v>
      </c>
      <c r="C2" s="3" t="s">
        <v>122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129</v>
      </c>
      <c r="K2" s="3" t="s">
        <v>130</v>
      </c>
      <c r="L2" s="3" t="s">
        <v>131</v>
      </c>
      <c r="M2" s="3" t="s">
        <v>132</v>
      </c>
      <c r="N2" s="3" t="s">
        <v>133</v>
      </c>
      <c r="O2" s="5" t="s">
        <v>110</v>
      </c>
      <c r="P2" s="5" t="s">
        <v>121</v>
      </c>
      <c r="Q2" s="5" t="s">
        <v>103</v>
      </c>
      <c r="S2" s="7" t="s">
        <v>111</v>
      </c>
      <c r="T2" s="7" t="s">
        <v>108</v>
      </c>
    </row>
    <row r="3" spans="1:24" x14ac:dyDescent="0.35">
      <c r="A3" t="str">
        <f>'PY-3'!A2</f>
        <v>Tech Solutions SA</v>
      </c>
      <c r="B3" t="str">
        <f>'PY-3'!B2</f>
        <v>Other Courses</v>
      </c>
      <c r="C3" s="6">
        <f>'PY-3'!C2</f>
        <v>9138</v>
      </c>
      <c r="D3" s="6">
        <f>'PY-3'!D2</f>
        <v>1517</v>
      </c>
      <c r="E3" s="6">
        <f>'PY-3'!E2</f>
        <v>79142</v>
      </c>
      <c r="F3" s="6">
        <f>'PY-3'!F2</f>
        <v>65749</v>
      </c>
      <c r="G3" s="6">
        <f>'PY-3'!G2</f>
        <v>1780</v>
      </c>
      <c r="H3" s="6">
        <f>'PY-3'!H2</f>
        <v>76631</v>
      </c>
      <c r="I3" s="6">
        <f>'PY-3'!I2</f>
        <v>78420</v>
      </c>
      <c r="J3" s="6">
        <f>'PY-3'!J2</f>
        <v>24088</v>
      </c>
      <c r="K3" s="6">
        <f>'PY-3'!K2</f>
        <v>37438</v>
      </c>
      <c r="L3" s="6">
        <f>'PY-3'!L2</f>
        <v>22236</v>
      </c>
      <c r="M3" s="6">
        <f>'PY-3'!M2</f>
        <v>70583</v>
      </c>
      <c r="N3" s="6">
        <f>'PY-3'!N2</f>
        <v>18542</v>
      </c>
      <c r="O3" s="6">
        <f>SUM(C3:N3)</f>
        <v>485264</v>
      </c>
      <c r="P3" s="6">
        <f>O3-SUM(K3:N3)</f>
        <v>336465</v>
      </c>
      <c r="Q3" t="s">
        <v>104</v>
      </c>
      <c r="S3" s="7" t="s">
        <v>112</v>
      </c>
      <c r="T3" s="8" t="s">
        <v>121</v>
      </c>
      <c r="U3" s="8" t="s">
        <v>107</v>
      </c>
      <c r="V3" s="8" t="s">
        <v>106</v>
      </c>
      <c r="W3" s="8" t="s">
        <v>105</v>
      </c>
      <c r="X3" s="8" t="s">
        <v>104</v>
      </c>
    </row>
    <row r="4" spans="1:24" x14ac:dyDescent="0.35">
      <c r="A4" t="str">
        <f>'PY-3'!A3</f>
        <v>ABC Manufacturing</v>
      </c>
      <c r="B4" t="str">
        <f>'PY-3'!B3</f>
        <v xml:space="preserve">Compliance Training </v>
      </c>
      <c r="C4" s="6">
        <f>'PY-3'!C3</f>
        <v>43753</v>
      </c>
      <c r="D4" s="6">
        <f>'PY-3'!D3</f>
        <v>50181</v>
      </c>
      <c r="E4" s="6">
        <f>'PY-3'!E3</f>
        <v>11954</v>
      </c>
      <c r="F4" s="6">
        <f>'PY-3'!F3</f>
        <v>20387</v>
      </c>
      <c r="G4" s="6">
        <f>'PY-3'!G3</f>
        <v>4613</v>
      </c>
      <c r="H4" s="6">
        <f>'PY-3'!H3</f>
        <v>52862</v>
      </c>
      <c r="I4" s="6">
        <f>'PY-3'!I3</f>
        <v>59258</v>
      </c>
      <c r="J4" s="6">
        <f>'PY-3'!J3</f>
        <v>21761</v>
      </c>
      <c r="K4" s="6">
        <f>'PY-3'!K3</f>
        <v>88380</v>
      </c>
      <c r="L4" s="6">
        <f>'PY-3'!L3</f>
        <v>22742</v>
      </c>
      <c r="M4" s="6">
        <f>'PY-3'!M3</f>
        <v>97518</v>
      </c>
      <c r="N4" s="6">
        <f>'PY-3'!N3</f>
        <v>8904</v>
      </c>
      <c r="O4" s="6">
        <f t="shared" ref="O4:O67" si="1">SUM(C4:N4)</f>
        <v>482313</v>
      </c>
      <c r="P4" s="6">
        <f t="shared" ref="P4:P67" si="2">O4-SUM(K4:N4)</f>
        <v>264769</v>
      </c>
      <c r="Q4" t="str">
        <f>Q3</f>
        <v>PY-3</v>
      </c>
      <c r="S4" s="9" t="s">
        <v>99</v>
      </c>
      <c r="T4" s="8"/>
      <c r="U4" s="8"/>
      <c r="V4" s="8"/>
      <c r="W4" s="8"/>
      <c r="X4" s="8">
        <v>2584472</v>
      </c>
    </row>
    <row r="5" spans="1:24" x14ac:dyDescent="0.35">
      <c r="A5" t="str">
        <f>'PY-3'!A4</f>
        <v>ABSA</v>
      </c>
      <c r="B5" t="str">
        <f>'PY-3'!B4</f>
        <v>Learnerships</v>
      </c>
      <c r="C5" s="6">
        <f>'PY-3'!C4</f>
        <v>94189</v>
      </c>
      <c r="D5" s="6">
        <f>'PY-3'!D4</f>
        <v>99333</v>
      </c>
      <c r="E5" s="6">
        <f>'PY-3'!E4</f>
        <v>25781</v>
      </c>
      <c r="F5" s="6">
        <f>'PY-3'!F4</f>
        <v>49049</v>
      </c>
      <c r="G5" s="6">
        <f>'PY-3'!G4</f>
        <v>64407</v>
      </c>
      <c r="H5" s="6">
        <f>'PY-3'!H4</f>
        <v>92515</v>
      </c>
      <c r="I5" s="6">
        <f>'PY-3'!I4</f>
        <v>41104</v>
      </c>
      <c r="J5" s="6">
        <f>'PY-3'!J4</f>
        <v>94769</v>
      </c>
      <c r="K5" s="6">
        <f>'PY-3'!K4</f>
        <v>27497</v>
      </c>
      <c r="L5" s="6">
        <f>'PY-3'!L4</f>
        <v>59193</v>
      </c>
      <c r="M5" s="6">
        <f>'PY-3'!M4</f>
        <v>60192</v>
      </c>
      <c r="N5" s="6">
        <f>'PY-3'!N4</f>
        <v>94503</v>
      </c>
      <c r="O5" s="6">
        <f t="shared" si="1"/>
        <v>802532</v>
      </c>
      <c r="P5" s="6">
        <f t="shared" si="2"/>
        <v>561147</v>
      </c>
      <c r="Q5" t="str">
        <f t="shared" ref="Q5:Q32" si="3">Q4</f>
        <v>PY-3</v>
      </c>
      <c r="S5" s="9" t="s">
        <v>100</v>
      </c>
      <c r="T5" s="8"/>
      <c r="U5" s="8">
        <v>2691131</v>
      </c>
      <c r="V5" s="8"/>
      <c r="W5" s="8"/>
      <c r="X5" s="8"/>
    </row>
    <row r="6" spans="1:24" x14ac:dyDescent="0.35">
      <c r="A6" t="str">
        <f>'PY-3'!A5</f>
        <v>ABSA</v>
      </c>
      <c r="B6" t="str">
        <f>'PY-3'!B5</f>
        <v xml:space="preserve">Compliance Training </v>
      </c>
      <c r="C6" s="6">
        <f>'PY-3'!C5</f>
        <v>63506</v>
      </c>
      <c r="D6" s="6">
        <f>'PY-3'!D5</f>
        <v>81273</v>
      </c>
      <c r="E6" s="6">
        <f>'PY-3'!E5</f>
        <v>49725</v>
      </c>
      <c r="F6" s="6">
        <f>'PY-3'!F5</f>
        <v>25352</v>
      </c>
      <c r="G6" s="6">
        <f>'PY-3'!G5</f>
        <v>38996</v>
      </c>
      <c r="H6" s="6">
        <f>'PY-3'!H5</f>
        <v>15554</v>
      </c>
      <c r="I6" s="6">
        <f>'PY-3'!I5</f>
        <v>77906</v>
      </c>
      <c r="J6" s="6">
        <f>'PY-3'!J5</f>
        <v>86796</v>
      </c>
      <c r="K6" s="6">
        <f>'PY-3'!K5</f>
        <v>55329</v>
      </c>
      <c r="L6" s="6">
        <f>'PY-3'!L5</f>
        <v>28265</v>
      </c>
      <c r="M6" s="6">
        <f>'PY-3'!M5</f>
        <v>59135</v>
      </c>
      <c r="N6" s="6">
        <f>'PY-3'!N5</f>
        <v>84852</v>
      </c>
      <c r="O6" s="6">
        <f t="shared" si="1"/>
        <v>666689</v>
      </c>
      <c r="P6" s="6">
        <f t="shared" si="2"/>
        <v>439108</v>
      </c>
      <c r="Q6" t="str">
        <f t="shared" si="3"/>
        <v>PY-3</v>
      </c>
      <c r="S6" s="9" t="s">
        <v>102</v>
      </c>
      <c r="T6" s="8"/>
      <c r="U6" s="8">
        <v>2649813</v>
      </c>
      <c r="V6" s="8"/>
      <c r="W6" s="8"/>
      <c r="X6" s="8"/>
    </row>
    <row r="7" spans="1:24" x14ac:dyDescent="0.35">
      <c r="A7" t="str">
        <f>'PY-3'!A6</f>
        <v>Premier Academy</v>
      </c>
      <c r="B7" t="str">
        <f>'PY-3'!B6</f>
        <v>Other Courses</v>
      </c>
      <c r="C7" s="6">
        <f>'PY-3'!C6</f>
        <v>97390</v>
      </c>
      <c r="D7" s="6">
        <f>'PY-3'!D6</f>
        <v>26084</v>
      </c>
      <c r="E7" s="6">
        <f>'PY-3'!E6</f>
        <v>80039</v>
      </c>
      <c r="F7" s="6">
        <f>'PY-3'!F6</f>
        <v>55087</v>
      </c>
      <c r="G7" s="6">
        <f>'PY-3'!G6</f>
        <v>40990</v>
      </c>
      <c r="H7" s="6">
        <f>'PY-3'!H6</f>
        <v>13015</v>
      </c>
      <c r="I7" s="6">
        <f>'PY-3'!I6</f>
        <v>56238</v>
      </c>
      <c r="J7" s="6">
        <f>'PY-3'!J6</f>
        <v>75156</v>
      </c>
      <c r="K7" s="6">
        <f>'PY-3'!K6</f>
        <v>71301</v>
      </c>
      <c r="L7" s="6">
        <f>'PY-3'!L6</f>
        <v>64060</v>
      </c>
      <c r="M7" s="6">
        <f>'PY-3'!M6</f>
        <v>78841</v>
      </c>
      <c r="N7" s="6">
        <f>'PY-3'!N6</f>
        <v>35811</v>
      </c>
      <c r="O7" s="6">
        <f t="shared" si="1"/>
        <v>694012</v>
      </c>
      <c r="P7" s="6">
        <f t="shared" si="2"/>
        <v>443999</v>
      </c>
      <c r="Q7" t="str">
        <f t="shared" si="3"/>
        <v>PY-3</v>
      </c>
      <c r="S7" s="9" t="s">
        <v>101</v>
      </c>
      <c r="T7" s="8"/>
      <c r="U7" s="8">
        <v>2536457</v>
      </c>
      <c r="V7" s="8"/>
      <c r="W7" s="8"/>
      <c r="X7" s="8"/>
    </row>
    <row r="8" spans="1:24" x14ac:dyDescent="0.35">
      <c r="A8" t="str">
        <f>'PY-3'!A7</f>
        <v>Speccon</v>
      </c>
      <c r="B8" t="str">
        <f>'PY-3'!B7</f>
        <v>TAP Business</v>
      </c>
      <c r="C8" s="6">
        <f>'PY-3'!C7</f>
        <v>7258</v>
      </c>
      <c r="D8" s="6">
        <f>'PY-3'!D7</f>
        <v>41063</v>
      </c>
      <c r="E8" s="6">
        <f>'PY-3'!E7</f>
        <v>14414</v>
      </c>
      <c r="F8" s="6">
        <f>'PY-3'!F7</f>
        <v>87167</v>
      </c>
      <c r="G8" s="6">
        <f>'PY-3'!G7</f>
        <v>59661</v>
      </c>
      <c r="H8" s="6">
        <f>'PY-3'!H7</f>
        <v>39437</v>
      </c>
      <c r="I8" s="6">
        <f>'PY-3'!I7</f>
        <v>15768</v>
      </c>
      <c r="J8" s="6">
        <f>'PY-3'!J7</f>
        <v>53341</v>
      </c>
      <c r="K8" s="6">
        <f>'PY-3'!K7</f>
        <v>92354</v>
      </c>
      <c r="L8" s="6">
        <f>'PY-3'!L7</f>
        <v>43004</v>
      </c>
      <c r="M8" s="6">
        <f>'PY-3'!M7</f>
        <v>90809</v>
      </c>
      <c r="N8" s="6">
        <f>'PY-3'!N7</f>
        <v>71410</v>
      </c>
      <c r="O8" s="6">
        <f t="shared" si="1"/>
        <v>615686</v>
      </c>
      <c r="P8" s="6">
        <f t="shared" si="2"/>
        <v>318109</v>
      </c>
      <c r="Q8" t="str">
        <f t="shared" si="3"/>
        <v>PY-3</v>
      </c>
      <c r="S8" s="9" t="s">
        <v>114</v>
      </c>
      <c r="T8" s="8">
        <v>1771887</v>
      </c>
      <c r="U8" s="8">
        <v>2610565</v>
      </c>
      <c r="V8" s="8">
        <v>2736875</v>
      </c>
      <c r="W8" s="8">
        <v>1996849</v>
      </c>
      <c r="X8" s="8">
        <v>2161431</v>
      </c>
    </row>
    <row r="9" spans="1:24" x14ac:dyDescent="0.35">
      <c r="A9" t="str">
        <f>'PY-3'!A8</f>
        <v>AVI</v>
      </c>
      <c r="B9" t="str">
        <f>'PY-3'!B8</f>
        <v xml:space="preserve">Compliance Training </v>
      </c>
      <c r="C9" s="6">
        <f>'PY-3'!C8</f>
        <v>54908</v>
      </c>
      <c r="D9" s="6">
        <f>'PY-3'!D8</f>
        <v>90880</v>
      </c>
      <c r="E9" s="6">
        <f>'PY-3'!E8</f>
        <v>11435</v>
      </c>
      <c r="F9" s="6">
        <f>'PY-3'!F8</f>
        <v>33871</v>
      </c>
      <c r="G9" s="6">
        <f>'PY-3'!G8</f>
        <v>18505</v>
      </c>
      <c r="H9" s="6">
        <f>'PY-3'!H8</f>
        <v>97662</v>
      </c>
      <c r="I9" s="6">
        <f>'PY-3'!I8</f>
        <v>55696</v>
      </c>
      <c r="J9" s="6">
        <f>'PY-3'!J8</f>
        <v>9413</v>
      </c>
      <c r="K9" s="6">
        <f>'PY-3'!K8</f>
        <v>82484</v>
      </c>
      <c r="L9" s="6">
        <f>'PY-3'!L8</f>
        <v>41288</v>
      </c>
      <c r="M9" s="6">
        <f>'PY-3'!M8</f>
        <v>8349</v>
      </c>
      <c r="N9" s="6">
        <f>'PY-3'!N8</f>
        <v>61451</v>
      </c>
      <c r="O9" s="6">
        <f t="shared" si="1"/>
        <v>565942</v>
      </c>
      <c r="P9" s="6">
        <f t="shared" si="2"/>
        <v>372370</v>
      </c>
      <c r="Q9" t="str">
        <f t="shared" si="3"/>
        <v>PY-3</v>
      </c>
      <c r="S9" s="9" t="s">
        <v>116</v>
      </c>
      <c r="T9" s="8">
        <v>2084641</v>
      </c>
      <c r="U9" s="8">
        <v>2792045</v>
      </c>
      <c r="V9" s="8">
        <v>2561631</v>
      </c>
      <c r="W9" s="8">
        <v>2269400</v>
      </c>
      <c r="X9" s="8">
        <v>2284355</v>
      </c>
    </row>
    <row r="10" spans="1:24" x14ac:dyDescent="0.35">
      <c r="A10" t="str">
        <f>'PY-3'!A9</f>
        <v>Tech Solutions SA</v>
      </c>
      <c r="B10" t="str">
        <f>'PY-3'!B9</f>
        <v>Learnerships</v>
      </c>
      <c r="C10" s="6">
        <f>'PY-3'!C9</f>
        <v>38260</v>
      </c>
      <c r="D10" s="6">
        <f>'PY-3'!D9</f>
        <v>47838</v>
      </c>
      <c r="E10" s="6">
        <f>'PY-3'!E9</f>
        <v>4974</v>
      </c>
      <c r="F10" s="6">
        <f>'PY-3'!F9</f>
        <v>76621</v>
      </c>
      <c r="G10" s="6">
        <f>'PY-3'!G9</f>
        <v>58829</v>
      </c>
      <c r="H10" s="6">
        <f>'PY-3'!H9</f>
        <v>50521</v>
      </c>
      <c r="I10" s="6">
        <f>'PY-3'!I9</f>
        <v>1019</v>
      </c>
      <c r="J10" s="6">
        <f>'PY-3'!J9</f>
        <v>66841</v>
      </c>
      <c r="K10" s="6">
        <f>'PY-3'!K9</f>
        <v>320</v>
      </c>
      <c r="L10" s="6">
        <f>'PY-3'!L9</f>
        <v>81686</v>
      </c>
      <c r="M10" s="6">
        <f>'PY-3'!M9</f>
        <v>66422</v>
      </c>
      <c r="N10" s="6">
        <f>'PY-3'!N9</f>
        <v>48526</v>
      </c>
      <c r="O10" s="6">
        <f t="shared" si="1"/>
        <v>541857</v>
      </c>
      <c r="P10" s="6">
        <f t="shared" si="2"/>
        <v>344903</v>
      </c>
      <c r="Q10" t="str">
        <f t="shared" si="3"/>
        <v>PY-3</v>
      </c>
      <c r="S10" s="9" t="s">
        <v>118</v>
      </c>
      <c r="T10" s="8">
        <v>2179070</v>
      </c>
      <c r="U10" s="8">
        <v>2273122</v>
      </c>
      <c r="V10" s="8">
        <v>2717923</v>
      </c>
      <c r="W10" s="8">
        <v>2412158</v>
      </c>
      <c r="X10" s="8">
        <v>2402748</v>
      </c>
    </row>
    <row r="11" spans="1:24" x14ac:dyDescent="0.35">
      <c r="A11" t="str">
        <f>'PY-3'!A10</f>
        <v>Metro Logistics</v>
      </c>
      <c r="B11" t="str">
        <f>'PY-3'!B10</f>
        <v xml:space="preserve">Compliance Training </v>
      </c>
      <c r="C11" s="6">
        <f>'PY-3'!C10</f>
        <v>25927</v>
      </c>
      <c r="D11" s="6">
        <f>'PY-3'!D10</f>
        <v>45872</v>
      </c>
      <c r="E11" s="6">
        <f>'PY-3'!E10</f>
        <v>6347</v>
      </c>
      <c r="F11" s="6">
        <f>'PY-3'!F10</f>
        <v>19996</v>
      </c>
      <c r="G11" s="6">
        <f>'PY-3'!G10</f>
        <v>19492</v>
      </c>
      <c r="H11" s="6">
        <f>'PY-3'!H10</f>
        <v>8297</v>
      </c>
      <c r="I11" s="6">
        <f>'PY-3'!I10</f>
        <v>25448</v>
      </c>
      <c r="J11" s="6">
        <f>'PY-3'!J10</f>
        <v>51926</v>
      </c>
      <c r="K11" s="6">
        <f>'PY-3'!K10</f>
        <v>11450</v>
      </c>
      <c r="L11" s="6">
        <f>'PY-3'!L10</f>
        <v>31186</v>
      </c>
      <c r="M11" s="6">
        <f>'PY-3'!M10</f>
        <v>38653</v>
      </c>
      <c r="N11" s="6">
        <f>'PY-3'!N10</f>
        <v>27023</v>
      </c>
      <c r="O11" s="6">
        <f t="shared" si="1"/>
        <v>311617</v>
      </c>
      <c r="P11" s="6">
        <f t="shared" si="2"/>
        <v>203305</v>
      </c>
      <c r="Q11" t="str">
        <f t="shared" si="3"/>
        <v>PY-3</v>
      </c>
      <c r="S11" s="9" t="s">
        <v>11</v>
      </c>
      <c r="T11" s="8">
        <v>2433420</v>
      </c>
      <c r="U11" s="8">
        <v>2515175</v>
      </c>
      <c r="V11" s="8">
        <v>1786501</v>
      </c>
      <c r="W11" s="8">
        <v>2398913</v>
      </c>
      <c r="X11" s="8">
        <v>2402141</v>
      </c>
    </row>
    <row r="12" spans="1:24" x14ac:dyDescent="0.35">
      <c r="A12" t="str">
        <f>'PY-3'!A11</f>
        <v>AVI</v>
      </c>
      <c r="B12" t="str">
        <f>'PY-3'!B11</f>
        <v>Learnerships</v>
      </c>
      <c r="C12" s="6">
        <f>'PY-3'!C11</f>
        <v>81036</v>
      </c>
      <c r="D12" s="6">
        <f>'PY-3'!D11</f>
        <v>77363</v>
      </c>
      <c r="E12" s="6">
        <f>'PY-3'!E11</f>
        <v>60532</v>
      </c>
      <c r="F12" s="6">
        <f>'PY-3'!F11</f>
        <v>43129</v>
      </c>
      <c r="G12" s="6">
        <f>'PY-3'!G11</f>
        <v>26424</v>
      </c>
      <c r="H12" s="6">
        <f>'PY-3'!H11</f>
        <v>46771</v>
      </c>
      <c r="I12" s="6">
        <f>'PY-3'!I11</f>
        <v>61150</v>
      </c>
      <c r="J12" s="6">
        <f>'PY-3'!J11</f>
        <v>86862</v>
      </c>
      <c r="K12" s="6">
        <f>'PY-3'!K11</f>
        <v>48290</v>
      </c>
      <c r="L12" s="6">
        <f>'PY-3'!L11</f>
        <v>27969</v>
      </c>
      <c r="M12" s="6">
        <f>'PY-3'!M11</f>
        <v>84329</v>
      </c>
      <c r="N12" s="6">
        <f>'PY-3'!N11</f>
        <v>40266</v>
      </c>
      <c r="O12" s="6">
        <f t="shared" si="1"/>
        <v>684121</v>
      </c>
      <c r="P12" s="6">
        <f t="shared" si="2"/>
        <v>483267</v>
      </c>
      <c r="Q12" t="str">
        <f t="shared" si="3"/>
        <v>PY-3</v>
      </c>
      <c r="S12" s="9" t="s">
        <v>113</v>
      </c>
      <c r="T12" s="8">
        <v>2076371</v>
      </c>
      <c r="U12" s="8">
        <v>2922855</v>
      </c>
      <c r="V12" s="8">
        <v>2353749</v>
      </c>
      <c r="W12" s="8">
        <v>2304532</v>
      </c>
      <c r="X12" s="8">
        <v>2456768</v>
      </c>
    </row>
    <row r="13" spans="1:24" x14ac:dyDescent="0.35">
      <c r="A13" t="str">
        <f>'PY-3'!A12</f>
        <v>Greenfield High School</v>
      </c>
      <c r="B13" t="str">
        <f>'PY-3'!B12</f>
        <v xml:space="preserve">Compliance Training </v>
      </c>
      <c r="C13" s="6">
        <f>'PY-3'!C12</f>
        <v>6333</v>
      </c>
      <c r="D13" s="6">
        <f>'PY-3'!D12</f>
        <v>14621</v>
      </c>
      <c r="E13" s="6">
        <f>'PY-3'!E12</f>
        <v>99633</v>
      </c>
      <c r="F13" s="6">
        <f>'PY-3'!F12</f>
        <v>67398</v>
      </c>
      <c r="G13" s="6">
        <f>'PY-3'!G12</f>
        <v>45837</v>
      </c>
      <c r="H13" s="6">
        <f>'PY-3'!H12</f>
        <v>92864</v>
      </c>
      <c r="I13" s="6">
        <f>'PY-3'!I12</f>
        <v>60525</v>
      </c>
      <c r="J13" s="6">
        <f>'PY-3'!J12</f>
        <v>89615</v>
      </c>
      <c r="K13" s="6">
        <f>'PY-3'!K12</f>
        <v>79960</v>
      </c>
      <c r="L13" s="6">
        <f>'PY-3'!L12</f>
        <v>49979</v>
      </c>
      <c r="M13" s="6">
        <f>'PY-3'!M12</f>
        <v>50054</v>
      </c>
      <c r="N13" s="6">
        <f>'PY-3'!N12</f>
        <v>69936</v>
      </c>
      <c r="O13" s="6">
        <f t="shared" si="1"/>
        <v>726755</v>
      </c>
      <c r="P13" s="6">
        <f t="shared" si="2"/>
        <v>476826</v>
      </c>
      <c r="Q13" t="str">
        <f t="shared" si="3"/>
        <v>PY-3</v>
      </c>
      <c r="S13" s="9" t="s">
        <v>117</v>
      </c>
      <c r="T13" s="8">
        <v>2183654</v>
      </c>
      <c r="U13" s="8">
        <v>2274462</v>
      </c>
      <c r="V13" s="8">
        <v>1835058</v>
      </c>
      <c r="W13" s="8">
        <v>2478683</v>
      </c>
      <c r="X13" s="8">
        <v>2136834</v>
      </c>
    </row>
    <row r="14" spans="1:24" x14ac:dyDescent="0.35">
      <c r="A14" t="str">
        <f>'PY-3'!A13</f>
        <v>Speccon</v>
      </c>
      <c r="B14" t="str">
        <f>'PY-3'!B13</f>
        <v>Other Courses</v>
      </c>
      <c r="C14" s="6">
        <f>'PY-3'!C13</f>
        <v>21786</v>
      </c>
      <c r="D14" s="6">
        <f>'PY-3'!D13</f>
        <v>70127</v>
      </c>
      <c r="E14" s="6">
        <f>'PY-3'!E13</f>
        <v>6333</v>
      </c>
      <c r="F14" s="6">
        <f>'PY-3'!F13</f>
        <v>92239</v>
      </c>
      <c r="G14" s="6">
        <f>'PY-3'!G13</f>
        <v>48518</v>
      </c>
      <c r="H14" s="6">
        <f>'PY-3'!H13</f>
        <v>33200</v>
      </c>
      <c r="I14" s="6">
        <f>'PY-3'!I13</f>
        <v>28391</v>
      </c>
      <c r="J14" s="6">
        <f>'PY-3'!J13</f>
        <v>71380</v>
      </c>
      <c r="K14" s="6">
        <f>'PY-3'!K13</f>
        <v>56255</v>
      </c>
      <c r="L14" s="6">
        <f>'PY-3'!L13</f>
        <v>65222</v>
      </c>
      <c r="M14" s="6">
        <f>'PY-3'!M13</f>
        <v>48641</v>
      </c>
      <c r="N14" s="6">
        <f>'PY-3'!N13</f>
        <v>82722</v>
      </c>
      <c r="O14" s="6">
        <f t="shared" si="1"/>
        <v>624814</v>
      </c>
      <c r="P14" s="6">
        <f t="shared" si="2"/>
        <v>371974</v>
      </c>
      <c r="Q14" t="str">
        <f t="shared" si="3"/>
        <v>PY-3</v>
      </c>
      <c r="S14" s="9" t="s">
        <v>115</v>
      </c>
      <c r="T14" s="8">
        <v>2492156</v>
      </c>
      <c r="U14" s="8">
        <v>2050814</v>
      </c>
      <c r="V14" s="8">
        <v>2367816</v>
      </c>
      <c r="W14" s="8">
        <v>2290462</v>
      </c>
      <c r="X14" s="8">
        <v>2676349</v>
      </c>
    </row>
    <row r="15" spans="1:24" x14ac:dyDescent="0.35">
      <c r="A15" t="str">
        <f>'PY-3'!A14</f>
        <v>Premier Academy</v>
      </c>
      <c r="B15" t="str">
        <f>'PY-3'!B14</f>
        <v xml:space="preserve">Compliance Training </v>
      </c>
      <c r="C15" s="6">
        <f>'PY-3'!C14</f>
        <v>91455</v>
      </c>
      <c r="D15" s="6">
        <f>'PY-3'!D14</f>
        <v>38360</v>
      </c>
      <c r="E15" s="6">
        <f>'PY-3'!E14</f>
        <v>40583</v>
      </c>
      <c r="F15" s="6">
        <f>'PY-3'!F14</f>
        <v>7086</v>
      </c>
      <c r="G15" s="6">
        <f>'PY-3'!G14</f>
        <v>8197</v>
      </c>
      <c r="H15" s="6">
        <f>'PY-3'!H14</f>
        <v>58082</v>
      </c>
      <c r="I15" s="6">
        <f>'PY-3'!I14</f>
        <v>65530</v>
      </c>
      <c r="J15" s="6">
        <f>'PY-3'!J14</f>
        <v>35174</v>
      </c>
      <c r="K15" s="6">
        <f>'PY-3'!K14</f>
        <v>29276</v>
      </c>
      <c r="L15" s="6">
        <f>'PY-3'!L14</f>
        <v>35419</v>
      </c>
      <c r="M15" s="6">
        <f>'PY-3'!M14</f>
        <v>76926</v>
      </c>
      <c r="N15" s="6">
        <f>'PY-3'!N14</f>
        <v>51312</v>
      </c>
      <c r="O15" s="6">
        <f t="shared" si="1"/>
        <v>537400</v>
      </c>
      <c r="P15" s="6">
        <f t="shared" si="2"/>
        <v>344467</v>
      </c>
      <c r="Q15" t="str">
        <f t="shared" si="3"/>
        <v>PY-3</v>
      </c>
      <c r="S15" s="9" t="s">
        <v>109</v>
      </c>
      <c r="T15" s="8">
        <v>15221199</v>
      </c>
      <c r="U15" s="8">
        <v>25316439</v>
      </c>
      <c r="V15" s="8">
        <v>16359553</v>
      </c>
      <c r="W15" s="8">
        <v>16150997</v>
      </c>
      <c r="X15" s="8">
        <v>19105098</v>
      </c>
    </row>
    <row r="16" spans="1:24" x14ac:dyDescent="0.35">
      <c r="A16" t="str">
        <f>'PY-3'!A15</f>
        <v>Metro Logistics</v>
      </c>
      <c r="B16" t="str">
        <f>'PY-3'!B15</f>
        <v>TAP Business</v>
      </c>
      <c r="C16" s="6">
        <f>'PY-3'!C15</f>
        <v>84644</v>
      </c>
      <c r="D16" s="6">
        <f>'PY-3'!D15</f>
        <v>41594</v>
      </c>
      <c r="E16" s="6">
        <f>'PY-3'!E15</f>
        <v>75977</v>
      </c>
      <c r="F16" s="6">
        <f>'PY-3'!F15</f>
        <v>60817</v>
      </c>
      <c r="G16" s="6">
        <f>'PY-3'!G15</f>
        <v>10556</v>
      </c>
      <c r="H16" s="6">
        <f>'PY-3'!H15</f>
        <v>99400</v>
      </c>
      <c r="I16" s="6">
        <f>'PY-3'!I15</f>
        <v>53683</v>
      </c>
      <c r="J16" s="6">
        <f>'PY-3'!J15</f>
        <v>19569</v>
      </c>
      <c r="K16" s="6">
        <f>'PY-3'!K15</f>
        <v>20270</v>
      </c>
      <c r="L16" s="6">
        <f>'PY-3'!L15</f>
        <v>48214</v>
      </c>
      <c r="M16" s="6">
        <f>'PY-3'!M15</f>
        <v>89787</v>
      </c>
      <c r="N16" s="6">
        <f>'PY-3'!N15</f>
        <v>69068</v>
      </c>
      <c r="O16" s="6">
        <f t="shared" si="1"/>
        <v>673579</v>
      </c>
      <c r="P16" s="6">
        <f t="shared" si="2"/>
        <v>446240</v>
      </c>
      <c r="Q16" t="str">
        <f t="shared" si="3"/>
        <v>PY-3</v>
      </c>
    </row>
    <row r="17" spans="1:24" x14ac:dyDescent="0.35">
      <c r="A17" t="str">
        <f>'PY-3'!A16</f>
        <v>AVI</v>
      </c>
      <c r="B17" t="str">
        <f>'PY-3'!B16</f>
        <v>TAP Business</v>
      </c>
      <c r="C17" s="6">
        <f>'PY-3'!C16</f>
        <v>22300</v>
      </c>
      <c r="D17" s="6">
        <f>'PY-3'!D16</f>
        <v>85109</v>
      </c>
      <c r="E17" s="6">
        <f>'PY-3'!E16</f>
        <v>7262</v>
      </c>
      <c r="F17" s="6">
        <f>'PY-3'!F16</f>
        <v>32601</v>
      </c>
      <c r="G17" s="6">
        <f>'PY-3'!G16</f>
        <v>74115</v>
      </c>
      <c r="H17" s="6">
        <f>'PY-3'!H16</f>
        <v>63195</v>
      </c>
      <c r="I17" s="6">
        <f>'PY-3'!I16</f>
        <v>75439</v>
      </c>
      <c r="J17" s="6">
        <f>'PY-3'!J16</f>
        <v>23968</v>
      </c>
      <c r="K17" s="6">
        <f>'PY-3'!K16</f>
        <v>35113</v>
      </c>
      <c r="L17" s="6">
        <f>'PY-3'!L16</f>
        <v>34926</v>
      </c>
      <c r="M17" s="6">
        <f>'PY-3'!M16</f>
        <v>94234</v>
      </c>
      <c r="N17" s="6">
        <f>'PY-3'!N16</f>
        <v>59637</v>
      </c>
      <c r="O17" s="6">
        <f t="shared" si="1"/>
        <v>607899</v>
      </c>
      <c r="P17" s="6">
        <f t="shared" si="2"/>
        <v>383989</v>
      </c>
      <c r="Q17" t="str">
        <f t="shared" si="3"/>
        <v>PY-3</v>
      </c>
      <c r="T17" s="8">
        <f>SUM(T8:T10)</f>
        <v>6035598</v>
      </c>
      <c r="U17" s="8">
        <f t="shared" ref="U17:X17" si="4">SUM(U8:U10)</f>
        <v>7675732</v>
      </c>
      <c r="V17" s="8">
        <f t="shared" si="4"/>
        <v>8016429</v>
      </c>
      <c r="W17" s="8">
        <f t="shared" si="4"/>
        <v>6678407</v>
      </c>
      <c r="X17" s="8">
        <f t="shared" si="4"/>
        <v>6848534</v>
      </c>
    </row>
    <row r="18" spans="1:24" x14ac:dyDescent="0.35">
      <c r="A18" t="str">
        <f>'PY-3'!A17</f>
        <v>Tech Solutions SA</v>
      </c>
      <c r="B18" t="str">
        <f>'PY-3'!B17</f>
        <v>TAP Business</v>
      </c>
      <c r="C18" s="6">
        <f>'PY-3'!C17</f>
        <v>71247</v>
      </c>
      <c r="D18" s="6">
        <f>'PY-3'!D17</f>
        <v>85496</v>
      </c>
      <c r="E18" s="6">
        <f>'PY-3'!E17</f>
        <v>41717</v>
      </c>
      <c r="F18" s="6">
        <f>'PY-3'!F17</f>
        <v>59602</v>
      </c>
      <c r="G18" s="6">
        <f>'PY-3'!G17</f>
        <v>79837</v>
      </c>
      <c r="H18" s="6">
        <f>'PY-3'!H17</f>
        <v>95439</v>
      </c>
      <c r="I18" s="6">
        <f>'PY-3'!I17</f>
        <v>22982</v>
      </c>
      <c r="J18" s="6">
        <f>'PY-3'!J17</f>
        <v>46171</v>
      </c>
      <c r="K18" s="6">
        <f>'PY-3'!K17</f>
        <v>61190</v>
      </c>
      <c r="L18" s="6">
        <f>'PY-3'!L17</f>
        <v>25649</v>
      </c>
      <c r="M18" s="6">
        <f>'PY-3'!M17</f>
        <v>70191</v>
      </c>
      <c r="N18" s="6">
        <f>'PY-3'!N17</f>
        <v>72487</v>
      </c>
      <c r="O18" s="6">
        <f t="shared" si="1"/>
        <v>732008</v>
      </c>
      <c r="P18" s="6">
        <f t="shared" si="2"/>
        <v>502491</v>
      </c>
      <c r="Q18" t="str">
        <f t="shared" si="3"/>
        <v>PY-3</v>
      </c>
    </row>
    <row r="19" spans="1:24" x14ac:dyDescent="0.35">
      <c r="A19" t="str">
        <f>'PY-3'!A18</f>
        <v>Greenfield High School</v>
      </c>
      <c r="B19" t="str">
        <f>'PY-3'!B18</f>
        <v>Learnerships</v>
      </c>
      <c r="C19" s="6">
        <f>'PY-3'!C18</f>
        <v>67055</v>
      </c>
      <c r="D19" s="6">
        <f>'PY-3'!D18</f>
        <v>91926</v>
      </c>
      <c r="E19" s="6">
        <f>'PY-3'!E18</f>
        <v>91994</v>
      </c>
      <c r="F19" s="6">
        <f>'PY-3'!F18</f>
        <v>94246</v>
      </c>
      <c r="G19" s="6">
        <f>'PY-3'!G18</f>
        <v>79213</v>
      </c>
      <c r="H19" s="6">
        <f>'PY-3'!H18</f>
        <v>99776</v>
      </c>
      <c r="I19" s="6">
        <f>'PY-3'!I18</f>
        <v>12072</v>
      </c>
      <c r="J19" s="6">
        <f>'PY-3'!J18</f>
        <v>85997</v>
      </c>
      <c r="K19" s="6">
        <f>'PY-3'!K18</f>
        <v>56744</v>
      </c>
      <c r="L19" s="6">
        <f>'PY-3'!L18</f>
        <v>20461</v>
      </c>
      <c r="M19" s="6">
        <f>'PY-3'!M18</f>
        <v>73947</v>
      </c>
      <c r="N19" s="6">
        <f>'PY-3'!N18</f>
        <v>36953</v>
      </c>
      <c r="O19" s="6">
        <f t="shared" si="1"/>
        <v>810384</v>
      </c>
      <c r="P19" s="6">
        <f t="shared" si="2"/>
        <v>622279</v>
      </c>
      <c r="Q19" t="str">
        <f t="shared" si="3"/>
        <v>PY-3</v>
      </c>
    </row>
    <row r="20" spans="1:24" x14ac:dyDescent="0.35">
      <c r="A20" t="str">
        <f>'PY-3'!A19</f>
        <v>Tech Solutions SA</v>
      </c>
      <c r="B20" t="str">
        <f>'PY-3'!B19</f>
        <v xml:space="preserve">Compliance Training </v>
      </c>
      <c r="C20" s="6">
        <f>'PY-3'!C19</f>
        <v>93669</v>
      </c>
      <c r="D20" s="6">
        <f>'PY-3'!D19</f>
        <v>57970</v>
      </c>
      <c r="E20" s="6">
        <f>'PY-3'!E19</f>
        <v>18170</v>
      </c>
      <c r="F20" s="6">
        <f>'PY-3'!F19</f>
        <v>76437</v>
      </c>
      <c r="G20" s="6">
        <f>'PY-3'!G19</f>
        <v>30660</v>
      </c>
      <c r="H20" s="6">
        <f>'PY-3'!H19</f>
        <v>64232</v>
      </c>
      <c r="I20" s="6">
        <f>'PY-3'!I19</f>
        <v>10792</v>
      </c>
      <c r="J20" s="6">
        <f>'PY-3'!J19</f>
        <v>4568</v>
      </c>
      <c r="K20" s="6">
        <f>'PY-3'!K19</f>
        <v>4310</v>
      </c>
      <c r="L20" s="6">
        <f>'PY-3'!L19</f>
        <v>12397</v>
      </c>
      <c r="M20" s="6">
        <f>'PY-3'!M19</f>
        <v>26151</v>
      </c>
      <c r="N20" s="6">
        <f>'PY-3'!N19</f>
        <v>2946</v>
      </c>
      <c r="O20" s="6">
        <f t="shared" si="1"/>
        <v>402302</v>
      </c>
      <c r="P20" s="6">
        <f t="shared" si="2"/>
        <v>356498</v>
      </c>
      <c r="Q20" t="str">
        <f t="shared" si="3"/>
        <v>PY-3</v>
      </c>
    </row>
    <row r="21" spans="1:24" x14ac:dyDescent="0.35">
      <c r="A21" t="str">
        <f>'PY-3'!A20</f>
        <v>Premier Academy</v>
      </c>
      <c r="B21" t="str">
        <f>'PY-3'!B20</f>
        <v>Learnerships</v>
      </c>
      <c r="C21" s="6">
        <f>'PY-3'!C20</f>
        <v>15866</v>
      </c>
      <c r="D21" s="6">
        <f>'PY-3'!D20</f>
        <v>95702</v>
      </c>
      <c r="E21" s="6">
        <f>'PY-3'!E20</f>
        <v>30882</v>
      </c>
      <c r="F21" s="6">
        <f>'PY-3'!F20</f>
        <v>26927</v>
      </c>
      <c r="G21" s="6">
        <f>'PY-3'!G20</f>
        <v>17465</v>
      </c>
      <c r="H21" s="6">
        <f>'PY-3'!H20</f>
        <v>27495</v>
      </c>
      <c r="I21" s="6">
        <f>'PY-3'!I20</f>
        <v>46446</v>
      </c>
      <c r="J21" s="6">
        <f>'PY-3'!J20</f>
        <v>92802</v>
      </c>
      <c r="K21" s="6">
        <f>'PY-3'!K20</f>
        <v>8769</v>
      </c>
      <c r="L21" s="6">
        <f>'PY-3'!L20</f>
        <v>63780</v>
      </c>
      <c r="M21" s="6">
        <f>'PY-3'!M20</f>
        <v>98030</v>
      </c>
      <c r="N21" s="6">
        <f>'PY-3'!N20</f>
        <v>42770</v>
      </c>
      <c r="O21" s="6">
        <f t="shared" si="1"/>
        <v>566934</v>
      </c>
      <c r="P21" s="6">
        <f t="shared" si="2"/>
        <v>353585</v>
      </c>
      <c r="Q21" t="str">
        <f t="shared" si="3"/>
        <v>PY-3</v>
      </c>
    </row>
    <row r="22" spans="1:24" x14ac:dyDescent="0.35">
      <c r="A22" t="str">
        <f>'PY-3'!A21</f>
        <v>Greenfield High School</v>
      </c>
      <c r="B22" t="str">
        <f>'PY-3'!B21</f>
        <v>Other Courses</v>
      </c>
      <c r="C22" s="6">
        <f>'PY-3'!C21</f>
        <v>68864</v>
      </c>
      <c r="D22" s="6">
        <f>'PY-3'!D21</f>
        <v>95319</v>
      </c>
      <c r="E22" s="6">
        <f>'PY-3'!E21</f>
        <v>35509</v>
      </c>
      <c r="F22" s="6">
        <f>'PY-3'!F21</f>
        <v>25206</v>
      </c>
      <c r="G22" s="6">
        <f>'PY-3'!G21</f>
        <v>37142</v>
      </c>
      <c r="H22" s="6">
        <f>'PY-3'!H21</f>
        <v>19641</v>
      </c>
      <c r="I22" s="6">
        <f>'PY-3'!I21</f>
        <v>81324</v>
      </c>
      <c r="J22" s="6">
        <f>'PY-3'!J21</f>
        <v>65564</v>
      </c>
      <c r="K22" s="6">
        <f>'PY-3'!K21</f>
        <v>23171</v>
      </c>
      <c r="L22" s="6">
        <f>'PY-3'!L21</f>
        <v>83973</v>
      </c>
      <c r="M22" s="6">
        <f>'PY-3'!M21</f>
        <v>28736</v>
      </c>
      <c r="N22" s="6">
        <f>'PY-3'!N21</f>
        <v>82626</v>
      </c>
      <c r="O22" s="6">
        <f t="shared" si="1"/>
        <v>647075</v>
      </c>
      <c r="P22" s="6">
        <f t="shared" si="2"/>
        <v>428569</v>
      </c>
      <c r="Q22" t="str">
        <f t="shared" si="3"/>
        <v>PY-3</v>
      </c>
    </row>
    <row r="23" spans="1:24" x14ac:dyDescent="0.35">
      <c r="A23" t="str">
        <f>'PY-3'!A22</f>
        <v>Metro Logistics</v>
      </c>
      <c r="B23" t="str">
        <f>'PY-3'!B22</f>
        <v>Other Courses</v>
      </c>
      <c r="C23" s="6">
        <f>'PY-3'!C22</f>
        <v>68027</v>
      </c>
      <c r="D23" s="6">
        <f>'PY-3'!D22</f>
        <v>71055</v>
      </c>
      <c r="E23" s="6">
        <f>'PY-3'!E22</f>
        <v>50067</v>
      </c>
      <c r="F23" s="6">
        <f>'PY-3'!F22</f>
        <v>42679</v>
      </c>
      <c r="G23" s="6">
        <f>'PY-3'!G22</f>
        <v>62074</v>
      </c>
      <c r="H23" s="6">
        <f>'PY-3'!H22</f>
        <v>51214</v>
      </c>
      <c r="I23" s="6">
        <f>'PY-3'!I22</f>
        <v>58551</v>
      </c>
      <c r="J23" s="6">
        <f>'PY-3'!J22</f>
        <v>40340</v>
      </c>
      <c r="K23" s="6">
        <f>'PY-3'!K22</f>
        <v>28162</v>
      </c>
      <c r="L23" s="6">
        <f>'PY-3'!L22</f>
        <v>91034</v>
      </c>
      <c r="M23" s="6">
        <f>'PY-3'!M22</f>
        <v>20684</v>
      </c>
      <c r="N23" s="6">
        <f>'PY-3'!N22</f>
        <v>31133</v>
      </c>
      <c r="O23" s="6">
        <f t="shared" si="1"/>
        <v>615020</v>
      </c>
      <c r="P23" s="6">
        <f t="shared" si="2"/>
        <v>444007</v>
      </c>
      <c r="Q23" t="str">
        <f t="shared" si="3"/>
        <v>PY-3</v>
      </c>
    </row>
    <row r="24" spans="1:24" x14ac:dyDescent="0.35">
      <c r="A24" t="str">
        <f>'PY-3'!A23</f>
        <v>ABC Manufacturing</v>
      </c>
      <c r="B24" t="str">
        <f>'PY-3'!B23</f>
        <v>TAP Business</v>
      </c>
      <c r="C24" s="6">
        <f>'PY-3'!C23</f>
        <v>36706</v>
      </c>
      <c r="D24" s="6">
        <f>'PY-3'!D23</f>
        <v>1096</v>
      </c>
      <c r="E24" s="6">
        <f>'PY-3'!E23</f>
        <v>21276</v>
      </c>
      <c r="F24" s="6">
        <f>'PY-3'!F23</f>
        <v>55989</v>
      </c>
      <c r="G24" s="6">
        <f>'PY-3'!G23</f>
        <v>30192</v>
      </c>
      <c r="H24" s="6">
        <f>'PY-3'!H23</f>
        <v>10206</v>
      </c>
      <c r="I24" s="6">
        <f>'PY-3'!I23</f>
        <v>20109</v>
      </c>
      <c r="J24" s="6">
        <f>'PY-3'!J23</f>
        <v>33517</v>
      </c>
      <c r="K24" s="6">
        <f>'PY-3'!K23</f>
        <v>56808</v>
      </c>
      <c r="L24" s="6">
        <f>'PY-3'!L23</f>
        <v>71883</v>
      </c>
      <c r="M24" s="6">
        <f>'PY-3'!M23</f>
        <v>47065</v>
      </c>
      <c r="N24" s="6">
        <f>'PY-3'!N23</f>
        <v>13673</v>
      </c>
      <c r="O24" s="6">
        <f t="shared" si="1"/>
        <v>398520</v>
      </c>
      <c r="P24" s="6">
        <f t="shared" si="2"/>
        <v>209091</v>
      </c>
      <c r="Q24" t="str">
        <f t="shared" si="3"/>
        <v>PY-3</v>
      </c>
    </row>
    <row r="25" spans="1:24" x14ac:dyDescent="0.35">
      <c r="A25" t="str">
        <f>'PY-3'!A24</f>
        <v>Metro Logistics</v>
      </c>
      <c r="B25" t="str">
        <f>'PY-3'!B24</f>
        <v>Learnerships</v>
      </c>
      <c r="C25" s="6">
        <f>'PY-3'!C24</f>
        <v>17977</v>
      </c>
      <c r="D25" s="6">
        <f>'PY-3'!D24</f>
        <v>75707</v>
      </c>
      <c r="E25" s="6">
        <f>'PY-3'!E24</f>
        <v>19863</v>
      </c>
      <c r="F25" s="6">
        <f>'PY-3'!F24</f>
        <v>30875</v>
      </c>
      <c r="G25" s="6">
        <f>'PY-3'!G24</f>
        <v>61607</v>
      </c>
      <c r="H25" s="6">
        <f>'PY-3'!H24</f>
        <v>81053</v>
      </c>
      <c r="I25" s="6">
        <f>'PY-3'!I24</f>
        <v>27979</v>
      </c>
      <c r="J25" s="6">
        <f>'PY-3'!J24</f>
        <v>97612</v>
      </c>
      <c r="K25" s="6">
        <f>'PY-3'!K24</f>
        <v>22261</v>
      </c>
      <c r="L25" s="6">
        <f>'PY-3'!L24</f>
        <v>86493</v>
      </c>
      <c r="M25" s="6">
        <f>'PY-3'!M24</f>
        <v>5388</v>
      </c>
      <c r="N25" s="6">
        <f>'PY-3'!N24</f>
        <v>9803</v>
      </c>
      <c r="O25" s="6">
        <f t="shared" si="1"/>
        <v>536618</v>
      </c>
      <c r="P25" s="6">
        <f t="shared" si="2"/>
        <v>412673</v>
      </c>
      <c r="Q25" t="str">
        <f t="shared" si="3"/>
        <v>PY-3</v>
      </c>
    </row>
    <row r="26" spans="1:24" x14ac:dyDescent="0.35">
      <c r="A26" t="str">
        <f>'PY-3'!A25</f>
        <v>ABC Manufacturing</v>
      </c>
      <c r="B26" t="str">
        <f>'PY-3'!B25</f>
        <v>Other Courses</v>
      </c>
      <c r="C26" s="6">
        <f>'PY-3'!C25</f>
        <v>93820</v>
      </c>
      <c r="D26" s="6">
        <f>'PY-3'!D25</f>
        <v>67428</v>
      </c>
      <c r="E26" s="6">
        <f>'PY-3'!E25</f>
        <v>67244</v>
      </c>
      <c r="F26" s="6">
        <f>'PY-3'!F25</f>
        <v>48128</v>
      </c>
      <c r="G26" s="6">
        <f>'PY-3'!G25</f>
        <v>53384</v>
      </c>
      <c r="H26" s="6">
        <f>'PY-3'!H25</f>
        <v>50430</v>
      </c>
      <c r="I26" s="6">
        <f>'PY-3'!I25</f>
        <v>86675</v>
      </c>
      <c r="J26" s="6">
        <f>'PY-3'!J25</f>
        <v>97407</v>
      </c>
      <c r="K26" s="6">
        <f>'PY-3'!K25</f>
        <v>85530</v>
      </c>
      <c r="L26" s="6">
        <f>'PY-3'!L25</f>
        <v>6801</v>
      </c>
      <c r="M26" s="6">
        <f>'PY-3'!M25</f>
        <v>1571</v>
      </c>
      <c r="N26" s="6">
        <f>'PY-3'!N25</f>
        <v>40846</v>
      </c>
      <c r="O26" s="6">
        <f t="shared" si="1"/>
        <v>699264</v>
      </c>
      <c r="P26" s="6">
        <f t="shared" si="2"/>
        <v>564516</v>
      </c>
      <c r="Q26" t="str">
        <f t="shared" si="3"/>
        <v>PY-3</v>
      </c>
      <c r="S26" s="7" t="s">
        <v>134</v>
      </c>
      <c r="T26" s="7" t="s">
        <v>108</v>
      </c>
    </row>
    <row r="27" spans="1:24" x14ac:dyDescent="0.35">
      <c r="A27" t="str">
        <f>'PY-3'!A26</f>
        <v>ABSA</v>
      </c>
      <c r="B27" t="str">
        <f>'PY-3'!B26</f>
        <v>Other Courses</v>
      </c>
      <c r="C27" s="6">
        <f>'PY-3'!C26</f>
        <v>61202</v>
      </c>
      <c r="D27" s="6">
        <f>'PY-3'!D26</f>
        <v>95255</v>
      </c>
      <c r="E27" s="6">
        <f>'PY-3'!E26</f>
        <v>33395</v>
      </c>
      <c r="F27" s="6">
        <f>'PY-3'!F26</f>
        <v>27800</v>
      </c>
      <c r="G27" s="6">
        <f>'PY-3'!G26</f>
        <v>33300</v>
      </c>
      <c r="H27" s="6">
        <f>'PY-3'!H26</f>
        <v>35040</v>
      </c>
      <c r="I27" s="6">
        <f>'PY-3'!I26</f>
        <v>98526</v>
      </c>
      <c r="J27" s="6">
        <f>'PY-3'!J26</f>
        <v>76656</v>
      </c>
      <c r="K27" s="6">
        <f>'PY-3'!K26</f>
        <v>98858</v>
      </c>
      <c r="L27" s="6">
        <f>'PY-3'!L26</f>
        <v>45848</v>
      </c>
      <c r="M27" s="6">
        <f>'PY-3'!M26</f>
        <v>11186</v>
      </c>
      <c r="N27" s="6">
        <f>'PY-3'!N26</f>
        <v>64825</v>
      </c>
      <c r="O27" s="6">
        <f t="shared" si="1"/>
        <v>681891</v>
      </c>
      <c r="P27" s="6">
        <f t="shared" si="2"/>
        <v>461174</v>
      </c>
      <c r="Q27" t="str">
        <f t="shared" si="3"/>
        <v>PY-3</v>
      </c>
      <c r="S27" s="7" t="s">
        <v>112</v>
      </c>
      <c r="T27" s="8" t="s">
        <v>121</v>
      </c>
      <c r="U27" s="8" t="s">
        <v>107</v>
      </c>
      <c r="V27" s="8" t="s">
        <v>106</v>
      </c>
      <c r="W27" s="8" t="s">
        <v>105</v>
      </c>
      <c r="X27" s="8" t="s">
        <v>104</v>
      </c>
    </row>
    <row r="28" spans="1:24" x14ac:dyDescent="0.35">
      <c r="A28" t="str">
        <f>'PY-3'!A27</f>
        <v>Speccon</v>
      </c>
      <c r="B28" t="str">
        <f>'PY-3'!B27</f>
        <v xml:space="preserve">Compliance Training </v>
      </c>
      <c r="C28" s="6">
        <f>'PY-3'!C27</f>
        <v>83728</v>
      </c>
      <c r="D28" s="6">
        <f>'PY-3'!D27</f>
        <v>15762</v>
      </c>
      <c r="E28" s="6">
        <f>'PY-3'!E27</f>
        <v>7982</v>
      </c>
      <c r="F28" s="6">
        <f>'PY-3'!F27</f>
        <v>41529</v>
      </c>
      <c r="G28" s="6">
        <f>'PY-3'!G27</f>
        <v>78987</v>
      </c>
      <c r="H28" s="6">
        <f>'PY-3'!H27</f>
        <v>20325</v>
      </c>
      <c r="I28" s="6">
        <f>'PY-3'!I27</f>
        <v>99237</v>
      </c>
      <c r="J28" s="6">
        <f>'PY-3'!J27</f>
        <v>29204</v>
      </c>
      <c r="K28" s="6">
        <f>'PY-3'!K27</f>
        <v>89754</v>
      </c>
      <c r="L28" s="6">
        <f>'PY-3'!L27</f>
        <v>43735</v>
      </c>
      <c r="M28" s="6">
        <f>'PY-3'!M27</f>
        <v>93624</v>
      </c>
      <c r="N28" s="6">
        <f>'PY-3'!N27</f>
        <v>63399</v>
      </c>
      <c r="O28" s="6">
        <f t="shared" si="1"/>
        <v>667266</v>
      </c>
      <c r="P28" s="6">
        <f t="shared" si="2"/>
        <v>376754</v>
      </c>
      <c r="Q28" t="str">
        <f t="shared" si="3"/>
        <v>PY-3</v>
      </c>
      <c r="S28" s="9" t="s">
        <v>99</v>
      </c>
      <c r="T28" s="8"/>
      <c r="U28" s="8"/>
      <c r="V28" s="8"/>
      <c r="W28" s="8"/>
      <c r="X28" s="8">
        <v>1766165</v>
      </c>
    </row>
    <row r="29" spans="1:24" x14ac:dyDescent="0.35">
      <c r="A29" t="str">
        <f>'PY-3'!A28</f>
        <v>ABC Manufacturing</v>
      </c>
      <c r="B29" t="str">
        <f>'PY-3'!B28</f>
        <v>Learnerships</v>
      </c>
      <c r="C29" s="6">
        <f>'PY-3'!C28</f>
        <v>73495</v>
      </c>
      <c r="D29" s="6">
        <f>'PY-3'!D28</f>
        <v>28654</v>
      </c>
      <c r="E29" s="6">
        <f>'PY-3'!E28</f>
        <v>66709</v>
      </c>
      <c r="F29" s="6">
        <f>'PY-3'!F28</f>
        <v>70582</v>
      </c>
      <c r="G29" s="6">
        <f>'PY-3'!G28</f>
        <v>36804</v>
      </c>
      <c r="H29" s="6">
        <f>'PY-3'!H28</f>
        <v>82961</v>
      </c>
      <c r="I29" s="6">
        <f>'PY-3'!I28</f>
        <v>21977</v>
      </c>
      <c r="J29" s="6">
        <f>'PY-3'!J28</f>
        <v>78340</v>
      </c>
      <c r="K29" s="6">
        <f>'PY-3'!K28</f>
        <v>50488</v>
      </c>
      <c r="L29" s="6">
        <f>'PY-3'!L28</f>
        <v>90225</v>
      </c>
      <c r="M29" s="6">
        <f>'PY-3'!M28</f>
        <v>68056</v>
      </c>
      <c r="N29" s="6">
        <f>'PY-3'!N28</f>
        <v>35967</v>
      </c>
      <c r="O29" s="6">
        <f t="shared" si="1"/>
        <v>704258</v>
      </c>
      <c r="P29" s="6">
        <f t="shared" si="2"/>
        <v>459522</v>
      </c>
      <c r="Q29" t="str">
        <f t="shared" si="3"/>
        <v>PY-3</v>
      </c>
      <c r="S29" s="9" t="s">
        <v>100</v>
      </c>
      <c r="T29" s="8"/>
      <c r="U29" s="8">
        <v>1856963</v>
      </c>
      <c r="V29" s="8"/>
      <c r="W29" s="8"/>
      <c r="X29" s="8"/>
    </row>
    <row r="30" spans="1:24" x14ac:dyDescent="0.35">
      <c r="A30" t="str">
        <f>'PY-3'!A29</f>
        <v>Premier Academy</v>
      </c>
      <c r="B30" t="str">
        <f>'PY-3'!B29</f>
        <v>TAP Business</v>
      </c>
      <c r="C30" s="6">
        <f>'PY-3'!C29</f>
        <v>32253</v>
      </c>
      <c r="D30" s="6">
        <f>'PY-3'!D29</f>
        <v>53684</v>
      </c>
      <c r="E30" s="6">
        <f>'PY-3'!E29</f>
        <v>98525</v>
      </c>
      <c r="F30" s="6">
        <f>'PY-3'!F29</f>
        <v>81214</v>
      </c>
      <c r="G30" s="6">
        <f>'PY-3'!G29</f>
        <v>21861</v>
      </c>
      <c r="H30" s="6">
        <f>'PY-3'!H29</f>
        <v>14585</v>
      </c>
      <c r="I30" s="6">
        <f>'PY-3'!I29</f>
        <v>21071</v>
      </c>
      <c r="J30" s="6">
        <f>'PY-3'!J29</f>
        <v>50437</v>
      </c>
      <c r="K30" s="6">
        <f>'PY-3'!K29</f>
        <v>34753</v>
      </c>
      <c r="L30" s="6">
        <f>'PY-3'!L29</f>
        <v>10848</v>
      </c>
      <c r="M30" s="6">
        <f>'PY-3'!M29</f>
        <v>97140</v>
      </c>
      <c r="N30" s="6">
        <f>'PY-3'!N29</f>
        <v>88031</v>
      </c>
      <c r="O30" s="6">
        <f t="shared" si="1"/>
        <v>604402</v>
      </c>
      <c r="P30" s="6">
        <f t="shared" si="2"/>
        <v>373630</v>
      </c>
      <c r="Q30" t="str">
        <f t="shared" si="3"/>
        <v>PY-3</v>
      </c>
      <c r="S30" s="9" t="s">
        <v>102</v>
      </c>
      <c r="T30" s="8"/>
      <c r="U30" s="8">
        <v>1705148</v>
      </c>
      <c r="V30" s="8"/>
      <c r="W30" s="8"/>
      <c r="X30" s="8"/>
    </row>
    <row r="31" spans="1:24" x14ac:dyDescent="0.35">
      <c r="A31" t="str">
        <f>'PY-3'!A30</f>
        <v>Speccon</v>
      </c>
      <c r="B31" t="str">
        <f>'PY-3'!B30</f>
        <v>Learnerships</v>
      </c>
      <c r="C31" s="6">
        <f>'PY-3'!C30</f>
        <v>61980</v>
      </c>
      <c r="D31" s="6">
        <f>'PY-3'!D30</f>
        <v>12972</v>
      </c>
      <c r="E31" s="6">
        <f>'PY-3'!E30</f>
        <v>6962</v>
      </c>
      <c r="F31" s="6">
        <f>'PY-3'!F30</f>
        <v>93709</v>
      </c>
      <c r="G31" s="6">
        <f>'PY-3'!G30</f>
        <v>3745</v>
      </c>
      <c r="H31" s="6">
        <f>'PY-3'!H30</f>
        <v>9524</v>
      </c>
      <c r="I31" s="6">
        <f>'PY-3'!I30</f>
        <v>8724</v>
      </c>
      <c r="J31" s="6">
        <f>'PY-3'!J30</f>
        <v>31904</v>
      </c>
      <c r="K31" s="6">
        <f>'PY-3'!K30</f>
        <v>68350</v>
      </c>
      <c r="L31" s="6">
        <f>'PY-3'!L30</f>
        <v>87600</v>
      </c>
      <c r="M31" s="6">
        <f>'PY-3'!M30</f>
        <v>31696</v>
      </c>
      <c r="N31" s="6">
        <f>'PY-3'!N30</f>
        <v>77209</v>
      </c>
      <c r="O31" s="6">
        <f t="shared" si="1"/>
        <v>494375</v>
      </c>
      <c r="P31" s="6">
        <f t="shared" si="2"/>
        <v>229520</v>
      </c>
      <c r="Q31" t="str">
        <f t="shared" si="3"/>
        <v>PY-3</v>
      </c>
      <c r="S31" s="9" t="s">
        <v>101</v>
      </c>
      <c r="T31" s="8"/>
      <c r="U31" s="8">
        <v>1664969</v>
      </c>
      <c r="V31" s="8"/>
      <c r="W31" s="8"/>
      <c r="X31" s="8"/>
    </row>
    <row r="32" spans="1:24" x14ac:dyDescent="0.35">
      <c r="A32" t="str">
        <f>'PY-3'!A31</f>
        <v>ABSA</v>
      </c>
      <c r="B32" t="str">
        <f>'PY-3'!B31</f>
        <v>TAP Business</v>
      </c>
      <c r="C32" s="6">
        <f>'PY-3'!C31</f>
        <v>21489</v>
      </c>
      <c r="D32" s="6">
        <f>'PY-3'!D31</f>
        <v>16570</v>
      </c>
      <c r="E32" s="6">
        <f>'PY-3'!E31</f>
        <v>6744</v>
      </c>
      <c r="F32" s="6">
        <f>'PY-3'!F31</f>
        <v>10501</v>
      </c>
      <c r="G32" s="6">
        <f>'PY-3'!G31</f>
        <v>99090</v>
      </c>
      <c r="H32" s="6">
        <f>'PY-3'!H31</f>
        <v>36324</v>
      </c>
      <c r="I32" s="6">
        <f>'PY-3'!I31</f>
        <v>28588</v>
      </c>
      <c r="J32" s="6">
        <f>'PY-3'!J31</f>
        <v>85430</v>
      </c>
      <c r="K32" s="6">
        <f>'PY-3'!K31</f>
        <v>44555</v>
      </c>
      <c r="L32" s="6">
        <f>'PY-3'!L31</f>
        <v>26991</v>
      </c>
      <c r="M32" s="6">
        <f>'PY-3'!M31</f>
        <v>46473</v>
      </c>
      <c r="N32" s="6">
        <f>'PY-3'!N31</f>
        <v>10605</v>
      </c>
      <c r="O32" s="6">
        <f t="shared" si="1"/>
        <v>433360</v>
      </c>
      <c r="P32" s="6">
        <f t="shared" si="2"/>
        <v>304736</v>
      </c>
      <c r="Q32" t="str">
        <f t="shared" si="3"/>
        <v>PY-3</v>
      </c>
      <c r="S32" s="9" t="s">
        <v>114</v>
      </c>
      <c r="T32" s="8">
        <v>1259553</v>
      </c>
      <c r="U32" s="8">
        <v>1772481</v>
      </c>
      <c r="V32" s="8">
        <v>1754995</v>
      </c>
      <c r="W32" s="8">
        <v>1296100</v>
      </c>
      <c r="X32" s="8">
        <v>1540357</v>
      </c>
    </row>
    <row r="33" spans="1:24" x14ac:dyDescent="0.35">
      <c r="A33" t="str">
        <f>'PY-3'!A32</f>
        <v>Greenfield High School</v>
      </c>
      <c r="B33" t="str">
        <f>'PY-3'!B32</f>
        <v>TAP Business</v>
      </c>
      <c r="C33" s="6">
        <f>'PY-3'!C32</f>
        <v>32054</v>
      </c>
      <c r="D33" s="6">
        <f>'PY-3'!D32</f>
        <v>3214</v>
      </c>
      <c r="E33" s="6">
        <f>'PY-3'!E32</f>
        <v>32468</v>
      </c>
      <c r="F33" s="6">
        <f>'PY-3'!F32</f>
        <v>21409</v>
      </c>
      <c r="G33" s="6">
        <f>'PY-3'!G32</f>
        <v>53795</v>
      </c>
      <c r="H33" s="6">
        <f>'PY-3'!H32</f>
        <v>23578</v>
      </c>
      <c r="I33" s="6">
        <f>'PY-3'!I32</f>
        <v>92447</v>
      </c>
      <c r="J33" s="6">
        <f>'PY-3'!J32</f>
        <v>81472</v>
      </c>
      <c r="K33" s="6">
        <f>'PY-3'!K32</f>
        <v>23794</v>
      </c>
      <c r="L33" s="6">
        <f>'PY-3'!L32</f>
        <v>37739</v>
      </c>
      <c r="M33" s="6">
        <f>'PY-3'!M32</f>
        <v>82147</v>
      </c>
      <c r="N33" s="6">
        <f>'PY-3'!N32</f>
        <v>8018</v>
      </c>
      <c r="O33" s="6">
        <f t="shared" si="1"/>
        <v>492135</v>
      </c>
      <c r="P33" s="6">
        <f t="shared" si="2"/>
        <v>340437</v>
      </c>
      <c r="Q33" t="str">
        <f t="shared" ref="Q33:Q34" si="5">Q32</f>
        <v>PY-3</v>
      </c>
      <c r="S33" s="9" t="s">
        <v>116</v>
      </c>
      <c r="T33" s="8">
        <v>1542185</v>
      </c>
      <c r="U33" s="8">
        <v>1717131</v>
      </c>
      <c r="V33" s="8">
        <v>1921881</v>
      </c>
      <c r="W33" s="8">
        <v>1507744</v>
      </c>
      <c r="X33" s="8">
        <v>1497898</v>
      </c>
    </row>
    <row r="34" spans="1:24" x14ac:dyDescent="0.35">
      <c r="A34" t="str">
        <f>'PY-3'!A33</f>
        <v>AVI</v>
      </c>
      <c r="B34" t="str">
        <f>'PY-3'!B33</f>
        <v>Other Courses</v>
      </c>
      <c r="C34" s="6">
        <f>'PY-3'!C33</f>
        <v>49346</v>
      </c>
      <c r="D34" s="6">
        <f>'PY-3'!D33</f>
        <v>66321</v>
      </c>
      <c r="E34" s="6">
        <f>'PY-3'!E33</f>
        <v>65012</v>
      </c>
      <c r="F34" s="6">
        <f>'PY-3'!F33</f>
        <v>29771</v>
      </c>
      <c r="G34" s="6">
        <f>'PY-3'!G33</f>
        <v>88963</v>
      </c>
      <c r="H34" s="6">
        <f>'PY-3'!H33</f>
        <v>6028</v>
      </c>
      <c r="I34" s="6">
        <f>'PY-3'!I33</f>
        <v>90784</v>
      </c>
      <c r="J34" s="6">
        <f>'PY-3'!J33</f>
        <v>54941</v>
      </c>
      <c r="K34" s="6">
        <f>'PY-3'!K33</f>
        <v>7203</v>
      </c>
      <c r="L34" s="6">
        <f>'PY-3'!L33</f>
        <v>26863</v>
      </c>
      <c r="M34" s="6">
        <f>'PY-3'!M33</f>
        <v>84143</v>
      </c>
      <c r="N34" s="6">
        <f>'PY-3'!N33</f>
        <v>29431</v>
      </c>
      <c r="O34" s="6">
        <f t="shared" si="1"/>
        <v>598806</v>
      </c>
      <c r="P34" s="6">
        <f t="shared" si="2"/>
        <v>451166</v>
      </c>
      <c r="Q34" t="str">
        <f t="shared" si="5"/>
        <v>PY-3</v>
      </c>
      <c r="S34" s="9" t="s">
        <v>118</v>
      </c>
      <c r="T34" s="8">
        <v>1616951</v>
      </c>
      <c r="U34" s="8">
        <v>1494626</v>
      </c>
      <c r="V34" s="8">
        <v>1741480</v>
      </c>
      <c r="W34" s="8">
        <v>1602190</v>
      </c>
      <c r="X34" s="8">
        <v>1515681</v>
      </c>
    </row>
    <row r="35" spans="1:24" x14ac:dyDescent="0.35">
      <c r="A35" t="str">
        <f>'PY-2'!A2</f>
        <v>Tech Solutions SA</v>
      </c>
      <c r="B35" t="str">
        <f>'PY-2'!B2</f>
        <v>Learnerships</v>
      </c>
      <c r="C35" s="6">
        <f>'PY-2'!C2</f>
        <v>1967</v>
      </c>
      <c r="D35" s="6">
        <f>'PY-2'!D2</f>
        <v>45170</v>
      </c>
      <c r="E35" s="6">
        <f>'PY-2'!E2</f>
        <v>72298</v>
      </c>
      <c r="F35" s="6">
        <f>'PY-2'!F2</f>
        <v>6758</v>
      </c>
      <c r="G35" s="6">
        <f>'PY-2'!G2</f>
        <v>96800</v>
      </c>
      <c r="H35" s="6">
        <f>'PY-2'!H2</f>
        <v>23834</v>
      </c>
      <c r="I35" s="6">
        <f>'PY-2'!I2</f>
        <v>56220</v>
      </c>
      <c r="J35" s="6">
        <f>'PY-2'!J2</f>
        <v>24071</v>
      </c>
      <c r="K35" s="6">
        <f>'PY-2'!K2</f>
        <v>15100</v>
      </c>
      <c r="L35" s="6">
        <f>'PY-2'!L2</f>
        <v>56077</v>
      </c>
      <c r="M35" s="6">
        <f>'PY-2'!M2</f>
        <v>95329</v>
      </c>
      <c r="N35" s="6">
        <f>'PY-2'!N2</f>
        <v>30236</v>
      </c>
      <c r="O35" s="6">
        <f t="shared" si="1"/>
        <v>523860</v>
      </c>
      <c r="P35" s="6">
        <f t="shared" si="2"/>
        <v>327118</v>
      </c>
      <c r="Q35" t="s">
        <v>105</v>
      </c>
      <c r="S35" s="9" t="s">
        <v>11</v>
      </c>
      <c r="T35" s="8">
        <v>1721412</v>
      </c>
      <c r="U35" s="8">
        <v>1769635</v>
      </c>
      <c r="V35" s="8">
        <v>1148794</v>
      </c>
      <c r="W35" s="8">
        <v>1481305</v>
      </c>
      <c r="X35" s="8">
        <v>1296357</v>
      </c>
    </row>
    <row r="36" spans="1:24" x14ac:dyDescent="0.35">
      <c r="A36" t="str">
        <f>'PY-2'!A3</f>
        <v>Speccon</v>
      </c>
      <c r="B36" t="str">
        <f>'PY-2'!B3</f>
        <v>Other Courses</v>
      </c>
      <c r="C36" s="6">
        <f>'PY-2'!C3</f>
        <v>17514</v>
      </c>
      <c r="D36" s="6">
        <f>'PY-2'!D3</f>
        <v>86441</v>
      </c>
      <c r="E36" s="6">
        <f>'PY-2'!E3</f>
        <v>42209</v>
      </c>
      <c r="F36" s="6">
        <f>'PY-2'!F3</f>
        <v>46051</v>
      </c>
      <c r="G36" s="6">
        <f>'PY-2'!G3</f>
        <v>12005</v>
      </c>
      <c r="H36" s="6">
        <f>'PY-2'!H3</f>
        <v>90366</v>
      </c>
      <c r="I36" s="6">
        <f>'PY-2'!I3</f>
        <v>99214</v>
      </c>
      <c r="J36" s="6">
        <f>'PY-2'!J3</f>
        <v>34262</v>
      </c>
      <c r="K36" s="6">
        <f>'PY-2'!K3</f>
        <v>70875</v>
      </c>
      <c r="L36" s="6">
        <f>'PY-2'!L3</f>
        <v>9849</v>
      </c>
      <c r="M36" s="6">
        <f>'PY-2'!M3</f>
        <v>63014</v>
      </c>
      <c r="N36" s="6">
        <f>'PY-2'!N3</f>
        <v>61375</v>
      </c>
      <c r="O36" s="6">
        <f t="shared" si="1"/>
        <v>633175</v>
      </c>
      <c r="P36" s="6">
        <f t="shared" si="2"/>
        <v>428062</v>
      </c>
      <c r="Q36" t="str">
        <f t="shared" ref="Q36:Q61" si="6">Q35</f>
        <v>PY-2</v>
      </c>
      <c r="S36" s="9" t="s">
        <v>113</v>
      </c>
      <c r="T36" s="8">
        <v>1742981</v>
      </c>
      <c r="U36" s="8">
        <v>1847095</v>
      </c>
      <c r="V36" s="8">
        <v>1586230</v>
      </c>
      <c r="W36" s="8">
        <v>1378142</v>
      </c>
      <c r="X36" s="8">
        <v>1690792</v>
      </c>
    </row>
    <row r="37" spans="1:24" x14ac:dyDescent="0.35">
      <c r="A37" t="str">
        <f>'PY-2'!A4</f>
        <v>Premier Academy</v>
      </c>
      <c r="B37" t="str">
        <f>'PY-2'!B4</f>
        <v>Other Courses</v>
      </c>
      <c r="C37" s="6">
        <f>'PY-2'!C4</f>
        <v>89416</v>
      </c>
      <c r="D37" s="6">
        <f>'PY-2'!D4</f>
        <v>16886</v>
      </c>
      <c r="E37" s="6">
        <f>'PY-2'!E4</f>
        <v>77480</v>
      </c>
      <c r="F37" s="6">
        <f>'PY-2'!F4</f>
        <v>67251</v>
      </c>
      <c r="G37" s="6">
        <f>'PY-2'!G4</f>
        <v>82651</v>
      </c>
      <c r="H37" s="6">
        <f>'PY-2'!H4</f>
        <v>23575</v>
      </c>
      <c r="I37" s="6">
        <f>'PY-2'!I4</f>
        <v>35164</v>
      </c>
      <c r="J37" s="6">
        <f>'PY-2'!J4</f>
        <v>31586</v>
      </c>
      <c r="K37" s="6">
        <f>'PY-2'!K4</f>
        <v>51185</v>
      </c>
      <c r="L37" s="6">
        <f>'PY-2'!L4</f>
        <v>12232</v>
      </c>
      <c r="M37" s="6">
        <f>'PY-2'!M4</f>
        <v>54200</v>
      </c>
      <c r="N37" s="6">
        <f>'PY-2'!N4</f>
        <v>73612</v>
      </c>
      <c r="O37" s="6">
        <f t="shared" si="1"/>
        <v>615238</v>
      </c>
      <c r="P37" s="6">
        <f t="shared" si="2"/>
        <v>424009</v>
      </c>
      <c r="Q37" t="str">
        <f t="shared" si="6"/>
        <v>PY-2</v>
      </c>
      <c r="S37" s="9" t="s">
        <v>117</v>
      </c>
      <c r="T37" s="8">
        <v>1500168</v>
      </c>
      <c r="U37" s="8">
        <v>1507820</v>
      </c>
      <c r="V37" s="8">
        <v>1104943</v>
      </c>
      <c r="W37" s="8">
        <v>1706064</v>
      </c>
      <c r="X37" s="8">
        <v>1506225</v>
      </c>
    </row>
    <row r="38" spans="1:24" x14ac:dyDescent="0.35">
      <c r="A38" t="str">
        <f>'PY-2'!A5</f>
        <v>ABC Manufacturing</v>
      </c>
      <c r="B38" t="str">
        <f>'PY-2'!B5</f>
        <v xml:space="preserve">Compliance Training </v>
      </c>
      <c r="C38" s="6">
        <f>'PY-2'!C5</f>
        <v>46867</v>
      </c>
      <c r="D38" s="6">
        <f>'PY-2'!D5</f>
        <v>39193</v>
      </c>
      <c r="E38" s="6">
        <f>'PY-2'!E5</f>
        <v>7321</v>
      </c>
      <c r="F38" s="6">
        <f>'PY-2'!F5</f>
        <v>46072</v>
      </c>
      <c r="G38" s="6">
        <f>'PY-2'!G5</f>
        <v>14209</v>
      </c>
      <c r="H38" s="6">
        <f>'PY-2'!H5</f>
        <v>82167</v>
      </c>
      <c r="I38" s="6">
        <f>'PY-2'!I5</f>
        <v>41795</v>
      </c>
      <c r="J38" s="6">
        <f>'PY-2'!J5</f>
        <v>72227</v>
      </c>
      <c r="K38" s="6">
        <f>'PY-2'!K5</f>
        <v>97311</v>
      </c>
      <c r="L38" s="6">
        <f>'PY-2'!L5</f>
        <v>6948</v>
      </c>
      <c r="M38" s="6">
        <f>'PY-2'!M5</f>
        <v>23515</v>
      </c>
      <c r="N38" s="6">
        <f>'PY-2'!N5</f>
        <v>60705</v>
      </c>
      <c r="O38" s="6">
        <f t="shared" si="1"/>
        <v>538330</v>
      </c>
      <c r="P38" s="6">
        <f t="shared" si="2"/>
        <v>349851</v>
      </c>
      <c r="Q38" t="str">
        <f t="shared" si="6"/>
        <v>PY-2</v>
      </c>
      <c r="S38" s="9" t="s">
        <v>115</v>
      </c>
      <c r="T38" s="8">
        <v>1990987</v>
      </c>
      <c r="U38" s="8">
        <v>1313287</v>
      </c>
      <c r="V38" s="8">
        <v>1564473</v>
      </c>
      <c r="W38" s="8">
        <v>1621812</v>
      </c>
      <c r="X38" s="8">
        <v>1868111</v>
      </c>
    </row>
    <row r="39" spans="1:24" x14ac:dyDescent="0.35">
      <c r="A39" t="str">
        <f>'PY-2'!A6</f>
        <v>Metro Logistics</v>
      </c>
      <c r="B39" t="str">
        <f>'PY-2'!B6</f>
        <v>TAP Business</v>
      </c>
      <c r="C39" s="6">
        <f>'PY-2'!C6</f>
        <v>34340</v>
      </c>
      <c r="D39" s="6">
        <f>'PY-2'!D6</f>
        <v>25856</v>
      </c>
      <c r="E39" s="6">
        <f>'PY-2'!E6</f>
        <v>6124</v>
      </c>
      <c r="F39" s="6">
        <f>'PY-2'!F6</f>
        <v>69265</v>
      </c>
      <c r="G39" s="6">
        <f>'PY-2'!G6</f>
        <v>77276</v>
      </c>
      <c r="H39" s="6">
        <f>'PY-2'!H6</f>
        <v>81059</v>
      </c>
      <c r="I39" s="6">
        <f>'PY-2'!I6</f>
        <v>71529</v>
      </c>
      <c r="J39" s="6">
        <f>'PY-2'!J6</f>
        <v>57024</v>
      </c>
      <c r="K39" s="6">
        <f>'PY-2'!K6</f>
        <v>38206</v>
      </c>
      <c r="L39" s="6">
        <f>'PY-2'!L6</f>
        <v>51543</v>
      </c>
      <c r="M39" s="6">
        <f>'PY-2'!M6</f>
        <v>74224</v>
      </c>
      <c r="N39" s="6">
        <f>'PY-2'!N6</f>
        <v>77067</v>
      </c>
      <c r="O39" s="6">
        <f t="shared" si="1"/>
        <v>663513</v>
      </c>
      <c r="P39" s="6">
        <f t="shared" si="2"/>
        <v>422473</v>
      </c>
      <c r="Q39" t="str">
        <f t="shared" si="6"/>
        <v>PY-2</v>
      </c>
      <c r="S39" s="9" t="s">
        <v>109</v>
      </c>
      <c r="T39" s="8">
        <v>11374237</v>
      </c>
      <c r="U39" s="8">
        <v>16649155</v>
      </c>
      <c r="V39" s="8">
        <v>10822796</v>
      </c>
      <c r="W39" s="8">
        <v>10593357</v>
      </c>
      <c r="X39" s="8">
        <v>12681586</v>
      </c>
    </row>
    <row r="40" spans="1:24" x14ac:dyDescent="0.35">
      <c r="A40" t="str">
        <f>'PY-2'!A7</f>
        <v>ABC Manufacturing</v>
      </c>
      <c r="B40" t="str">
        <f>'PY-2'!B7</f>
        <v>Other Courses</v>
      </c>
      <c r="C40" s="6">
        <f>'PY-2'!C7</f>
        <v>51512</v>
      </c>
      <c r="D40" s="6">
        <f>'PY-2'!D7</f>
        <v>80804</v>
      </c>
      <c r="E40" s="6">
        <f>'PY-2'!E7</f>
        <v>93527</v>
      </c>
      <c r="F40" s="6">
        <f>'PY-2'!F7</f>
        <v>8988</v>
      </c>
      <c r="G40" s="6">
        <f>'PY-2'!G7</f>
        <v>91669</v>
      </c>
      <c r="H40" s="6">
        <f>'PY-2'!H7</f>
        <v>24742</v>
      </c>
      <c r="I40" s="6">
        <f>'PY-2'!I7</f>
        <v>18549</v>
      </c>
      <c r="J40" s="6">
        <f>'PY-2'!J7</f>
        <v>90598</v>
      </c>
      <c r="K40" s="6">
        <f>'PY-2'!K7</f>
        <v>59165</v>
      </c>
      <c r="L40" s="6">
        <f>'PY-2'!L7</f>
        <v>57828</v>
      </c>
      <c r="M40" s="6">
        <f>'PY-2'!M7</f>
        <v>39853</v>
      </c>
      <c r="N40" s="6">
        <f>'PY-2'!N7</f>
        <v>82596</v>
      </c>
      <c r="O40" s="6">
        <f t="shared" si="1"/>
        <v>699831</v>
      </c>
      <c r="P40" s="6">
        <f t="shared" si="2"/>
        <v>460389</v>
      </c>
      <c r="Q40" t="str">
        <f t="shared" si="6"/>
        <v>PY-2</v>
      </c>
    </row>
    <row r="41" spans="1:24" x14ac:dyDescent="0.35">
      <c r="A41" t="str">
        <f>'PY-2'!A8</f>
        <v>Speccon</v>
      </c>
      <c r="B41" t="str">
        <f>'PY-2'!B8</f>
        <v>TAP Business</v>
      </c>
      <c r="C41" s="6">
        <f>'PY-2'!C8</f>
        <v>40294</v>
      </c>
      <c r="D41" s="6">
        <f>'PY-2'!D8</f>
        <v>31966</v>
      </c>
      <c r="E41" s="6">
        <f>'PY-2'!E8</f>
        <v>4506</v>
      </c>
      <c r="F41" s="6">
        <f>'PY-2'!F8</f>
        <v>83899</v>
      </c>
      <c r="G41" s="6">
        <f>'PY-2'!G8</f>
        <v>10470</v>
      </c>
      <c r="H41" s="6">
        <f>'PY-2'!H8</f>
        <v>68370</v>
      </c>
      <c r="I41" s="6">
        <f>'PY-2'!I8</f>
        <v>3069</v>
      </c>
      <c r="J41" s="6">
        <f>'PY-2'!J8</f>
        <v>56024</v>
      </c>
      <c r="K41" s="6">
        <f>'PY-2'!K8</f>
        <v>43082</v>
      </c>
      <c r="L41" s="6">
        <f>'PY-2'!L8</f>
        <v>72813</v>
      </c>
      <c r="M41" s="6">
        <f>'PY-2'!M8</f>
        <v>47421</v>
      </c>
      <c r="N41" s="6">
        <f>'PY-2'!N8</f>
        <v>79169</v>
      </c>
      <c r="O41" s="6">
        <f t="shared" si="1"/>
        <v>541083</v>
      </c>
      <c r="P41" s="6">
        <f t="shared" si="2"/>
        <v>298598</v>
      </c>
      <c r="Q41" t="str">
        <f t="shared" si="6"/>
        <v>PY-2</v>
      </c>
      <c r="T41" s="8">
        <f>SUM(T32:T34)</f>
        <v>4418689</v>
      </c>
      <c r="U41" s="8">
        <f t="shared" ref="U41:X41" si="7">SUM(U32:U34)</f>
        <v>4984238</v>
      </c>
      <c r="V41" s="8">
        <f t="shared" si="7"/>
        <v>5418356</v>
      </c>
      <c r="W41" s="8">
        <f t="shared" si="7"/>
        <v>4406034</v>
      </c>
      <c r="X41" s="8">
        <f t="shared" si="7"/>
        <v>4553936</v>
      </c>
    </row>
    <row r="42" spans="1:24" x14ac:dyDescent="0.35">
      <c r="A42" t="str">
        <f>'PY-2'!A9</f>
        <v>Tech Solutions SA</v>
      </c>
      <c r="B42" t="str">
        <f>'PY-2'!B9</f>
        <v xml:space="preserve">Compliance Training </v>
      </c>
      <c r="C42" s="6">
        <f>'PY-2'!C9</f>
        <v>38800</v>
      </c>
      <c r="D42" s="6">
        <f>'PY-2'!D9</f>
        <v>79645</v>
      </c>
      <c r="E42" s="6">
        <f>'PY-2'!E9</f>
        <v>67054</v>
      </c>
      <c r="F42" s="6">
        <f>'PY-2'!F9</f>
        <v>90135</v>
      </c>
      <c r="G42" s="6">
        <f>'PY-2'!G9</f>
        <v>17571</v>
      </c>
      <c r="H42" s="6">
        <f>'PY-2'!H9</f>
        <v>40884</v>
      </c>
      <c r="I42" s="6">
        <f>'PY-2'!I9</f>
        <v>83383</v>
      </c>
      <c r="J42" s="6">
        <f>'PY-2'!J9</f>
        <v>87642</v>
      </c>
      <c r="K42" s="6">
        <f>'PY-2'!K9</f>
        <v>49316</v>
      </c>
      <c r="L42" s="6">
        <f>'PY-2'!L9</f>
        <v>96829</v>
      </c>
      <c r="M42" s="6">
        <f>'PY-2'!M9</f>
        <v>37293</v>
      </c>
      <c r="N42" s="6">
        <f>'PY-2'!N9</f>
        <v>98106</v>
      </c>
      <c r="O42" s="6">
        <f t="shared" si="1"/>
        <v>786658</v>
      </c>
      <c r="P42" s="6">
        <f t="shared" si="2"/>
        <v>505114</v>
      </c>
      <c r="Q42" t="str">
        <f t="shared" si="6"/>
        <v>PY-2</v>
      </c>
    </row>
    <row r="43" spans="1:24" x14ac:dyDescent="0.35">
      <c r="A43" t="str">
        <f>'PY-2'!A10</f>
        <v>ABC Manufacturing</v>
      </c>
      <c r="B43" t="str">
        <f>'PY-2'!B10</f>
        <v>TAP Business</v>
      </c>
      <c r="C43" s="6">
        <f>'PY-2'!C10</f>
        <v>32962</v>
      </c>
      <c r="D43" s="6">
        <f>'PY-2'!D10</f>
        <v>11295</v>
      </c>
      <c r="E43" s="6">
        <f>'PY-2'!E10</f>
        <v>48509</v>
      </c>
      <c r="F43" s="6">
        <f>'PY-2'!F10</f>
        <v>67698</v>
      </c>
      <c r="G43" s="6">
        <f>'PY-2'!G10</f>
        <v>16687</v>
      </c>
      <c r="H43" s="6">
        <f>'PY-2'!H10</f>
        <v>6529</v>
      </c>
      <c r="I43" s="6">
        <f>'PY-2'!I10</f>
        <v>23163</v>
      </c>
      <c r="J43" s="6">
        <f>'PY-2'!J10</f>
        <v>50393</v>
      </c>
      <c r="K43" s="6">
        <f>'PY-2'!K10</f>
        <v>11128</v>
      </c>
      <c r="L43" s="6">
        <f>'PY-2'!L10</f>
        <v>20225</v>
      </c>
      <c r="M43" s="6">
        <f>'PY-2'!M10</f>
        <v>70140</v>
      </c>
      <c r="N43" s="6">
        <f>'PY-2'!N10</f>
        <v>34503</v>
      </c>
      <c r="O43" s="6">
        <f t="shared" si="1"/>
        <v>393232</v>
      </c>
      <c r="P43" s="6">
        <f t="shared" si="2"/>
        <v>257236</v>
      </c>
      <c r="Q43" t="str">
        <f t="shared" si="6"/>
        <v>PY-2</v>
      </c>
    </row>
    <row r="44" spans="1:24" x14ac:dyDescent="0.35">
      <c r="A44" t="str">
        <f>'PY-2'!A11</f>
        <v>AVI</v>
      </c>
      <c r="B44" t="str">
        <f>'PY-2'!B11</f>
        <v>Learnerships</v>
      </c>
      <c r="C44" s="6">
        <f>'PY-2'!C11</f>
        <v>44986</v>
      </c>
      <c r="D44" s="6">
        <f>'PY-2'!D11</f>
        <v>38503</v>
      </c>
      <c r="E44" s="6">
        <f>'PY-2'!E11</f>
        <v>99496</v>
      </c>
      <c r="F44" s="6">
        <f>'PY-2'!F11</f>
        <v>2557</v>
      </c>
      <c r="G44" s="6">
        <f>'PY-2'!G11</f>
        <v>91411</v>
      </c>
      <c r="H44" s="6">
        <f>'PY-2'!H11</f>
        <v>34107</v>
      </c>
      <c r="I44" s="6">
        <f>'PY-2'!I11</f>
        <v>21838</v>
      </c>
      <c r="J44" s="6">
        <f>'PY-2'!J11</f>
        <v>52163</v>
      </c>
      <c r="K44" s="6">
        <f>'PY-2'!K11</f>
        <v>42891</v>
      </c>
      <c r="L44" s="6">
        <f>'PY-2'!L11</f>
        <v>88871</v>
      </c>
      <c r="M44" s="6">
        <f>'PY-2'!M11</f>
        <v>83356</v>
      </c>
      <c r="N44" s="6">
        <f>'PY-2'!N11</f>
        <v>32016</v>
      </c>
      <c r="O44" s="6">
        <f t="shared" si="1"/>
        <v>632195</v>
      </c>
      <c r="P44" s="6">
        <f t="shared" si="2"/>
        <v>385061</v>
      </c>
      <c r="Q44" t="str">
        <f t="shared" si="6"/>
        <v>PY-2</v>
      </c>
    </row>
    <row r="45" spans="1:24" x14ac:dyDescent="0.35">
      <c r="A45" t="str">
        <f>'PY-2'!A12</f>
        <v>Premier Academy</v>
      </c>
      <c r="B45" t="str">
        <f>'PY-2'!B12</f>
        <v>TAP Business</v>
      </c>
      <c r="C45" s="6">
        <f>'PY-2'!C12</f>
        <v>94387</v>
      </c>
      <c r="D45" s="6">
        <f>'PY-2'!D12</f>
        <v>50965</v>
      </c>
      <c r="E45" s="6">
        <f>'PY-2'!E12</f>
        <v>6492</v>
      </c>
      <c r="F45" s="6">
        <f>'PY-2'!F12</f>
        <v>14142</v>
      </c>
      <c r="G45" s="6">
        <f>'PY-2'!G12</f>
        <v>25296</v>
      </c>
      <c r="H45" s="6">
        <f>'PY-2'!H12</f>
        <v>58072</v>
      </c>
      <c r="I45" s="6">
        <f>'PY-2'!I12</f>
        <v>88136</v>
      </c>
      <c r="J45" s="6">
        <f>'PY-2'!J12</f>
        <v>42438</v>
      </c>
      <c r="K45" s="6">
        <f>'PY-2'!K12</f>
        <v>71393</v>
      </c>
      <c r="L45" s="6">
        <f>'PY-2'!L12</f>
        <v>55235</v>
      </c>
      <c r="M45" s="6">
        <f>'PY-2'!M12</f>
        <v>78388</v>
      </c>
      <c r="N45" s="6">
        <f>'PY-2'!N12</f>
        <v>32938</v>
      </c>
      <c r="O45" s="6">
        <f t="shared" si="1"/>
        <v>617882</v>
      </c>
      <c r="P45" s="6">
        <f t="shared" si="2"/>
        <v>379928</v>
      </c>
      <c r="Q45" t="str">
        <f t="shared" si="6"/>
        <v>PY-2</v>
      </c>
    </row>
    <row r="46" spans="1:24" x14ac:dyDescent="0.35">
      <c r="A46" t="str">
        <f>'PY-2'!A13</f>
        <v>Premier Academy</v>
      </c>
      <c r="B46" t="str">
        <f>'PY-2'!B13</f>
        <v>Learnerships</v>
      </c>
      <c r="C46" s="6">
        <f>'PY-2'!C13</f>
        <v>65163</v>
      </c>
      <c r="D46" s="6">
        <f>'PY-2'!D13</f>
        <v>10055</v>
      </c>
      <c r="E46" s="6">
        <f>'PY-2'!E13</f>
        <v>16779</v>
      </c>
      <c r="F46" s="6">
        <f>'PY-2'!F13</f>
        <v>15509</v>
      </c>
      <c r="G46" s="6">
        <f>'PY-2'!G13</f>
        <v>99542</v>
      </c>
      <c r="H46" s="6">
        <f>'PY-2'!H13</f>
        <v>75868</v>
      </c>
      <c r="I46" s="6">
        <f>'PY-2'!I13</f>
        <v>42155</v>
      </c>
      <c r="J46" s="6">
        <f>'PY-2'!J13</f>
        <v>81621</v>
      </c>
      <c r="K46" s="6">
        <f>'PY-2'!K13</f>
        <v>79595</v>
      </c>
      <c r="L46" s="6">
        <f>'PY-2'!L13</f>
        <v>21390</v>
      </c>
      <c r="M46" s="6">
        <f>'PY-2'!M13</f>
        <v>21301</v>
      </c>
      <c r="N46" s="6">
        <f>'PY-2'!N13</f>
        <v>27469</v>
      </c>
      <c r="O46" s="6">
        <f t="shared" si="1"/>
        <v>556447</v>
      </c>
      <c r="P46" s="6">
        <f t="shared" si="2"/>
        <v>406692</v>
      </c>
      <c r="Q46" t="str">
        <f t="shared" si="6"/>
        <v>PY-2</v>
      </c>
    </row>
    <row r="47" spans="1:24" x14ac:dyDescent="0.35">
      <c r="A47" t="str">
        <f>'PY-2'!A14</f>
        <v>Premier Academy</v>
      </c>
      <c r="B47" t="str">
        <f>'PY-2'!B14</f>
        <v xml:space="preserve">Compliance Training </v>
      </c>
      <c r="C47" s="6">
        <f>'PY-2'!C14</f>
        <v>67033</v>
      </c>
      <c r="D47" s="6">
        <f>'PY-2'!D14</f>
        <v>50986</v>
      </c>
      <c r="E47" s="6">
        <f>'PY-2'!E14</f>
        <v>59157</v>
      </c>
      <c r="F47" s="6">
        <f>'PY-2'!F14</f>
        <v>7787</v>
      </c>
      <c r="G47" s="6">
        <f>'PY-2'!G14</f>
        <v>70198</v>
      </c>
      <c r="H47" s="6">
        <f>'PY-2'!H14</f>
        <v>8138</v>
      </c>
      <c r="I47" s="6">
        <f>'PY-2'!I14</f>
        <v>61036</v>
      </c>
      <c r="J47" s="6">
        <f>'PY-2'!J14</f>
        <v>67226</v>
      </c>
      <c r="K47" s="6">
        <f>'PY-2'!K14</f>
        <v>80566</v>
      </c>
      <c r="L47" s="6">
        <f>'PY-2'!L14</f>
        <v>39117</v>
      </c>
      <c r="M47" s="6">
        <f>'PY-2'!M14</f>
        <v>94482</v>
      </c>
      <c r="N47" s="6">
        <f>'PY-2'!N14</f>
        <v>16865</v>
      </c>
      <c r="O47" s="6">
        <f t="shared" si="1"/>
        <v>622591</v>
      </c>
      <c r="P47" s="6">
        <f t="shared" si="2"/>
        <v>391561</v>
      </c>
      <c r="Q47" t="str">
        <f t="shared" si="6"/>
        <v>PY-2</v>
      </c>
    </row>
    <row r="48" spans="1:24" x14ac:dyDescent="0.35">
      <c r="A48" t="str">
        <f>'PY-2'!A15</f>
        <v>Speccon</v>
      </c>
      <c r="B48" t="str">
        <f>'PY-2'!B15</f>
        <v xml:space="preserve">Compliance Training </v>
      </c>
      <c r="C48" s="6">
        <f>'PY-2'!C15</f>
        <v>19014</v>
      </c>
      <c r="D48" s="6">
        <f>'PY-2'!D15</f>
        <v>36298</v>
      </c>
      <c r="E48" s="6">
        <f>'PY-2'!E15</f>
        <v>43586</v>
      </c>
      <c r="F48" s="6">
        <f>'PY-2'!F15</f>
        <v>48308</v>
      </c>
      <c r="G48" s="6">
        <f>'PY-2'!G15</f>
        <v>24928</v>
      </c>
      <c r="H48" s="6">
        <f>'PY-2'!H15</f>
        <v>9723</v>
      </c>
      <c r="I48" s="6">
        <f>'PY-2'!I15</f>
        <v>44787</v>
      </c>
      <c r="J48" s="6">
        <f>'PY-2'!J15</f>
        <v>32107</v>
      </c>
      <c r="K48" s="6">
        <f>'PY-2'!K15</f>
        <v>35848</v>
      </c>
      <c r="L48" s="6">
        <f>'PY-2'!L15</f>
        <v>19944</v>
      </c>
      <c r="M48" s="6">
        <f>'PY-2'!M15</f>
        <v>89699</v>
      </c>
      <c r="N48" s="6">
        <f>'PY-2'!N15</f>
        <v>98358</v>
      </c>
      <c r="O48" s="6">
        <f t="shared" si="1"/>
        <v>502600</v>
      </c>
      <c r="P48" s="6">
        <f t="shared" si="2"/>
        <v>258751</v>
      </c>
      <c r="Q48" t="str">
        <f t="shared" si="6"/>
        <v>PY-2</v>
      </c>
    </row>
    <row r="49" spans="1:17" x14ac:dyDescent="0.35">
      <c r="A49" t="str">
        <f>'PY-2'!A16</f>
        <v>Greenfield High School</v>
      </c>
      <c r="B49" t="str">
        <f>'PY-2'!B16</f>
        <v xml:space="preserve">Compliance Training </v>
      </c>
      <c r="C49" s="6">
        <f>'PY-2'!C16</f>
        <v>40341</v>
      </c>
      <c r="D49" s="6">
        <f>'PY-2'!D16</f>
        <v>3414</v>
      </c>
      <c r="E49" s="6">
        <f>'PY-2'!E16</f>
        <v>13423</v>
      </c>
      <c r="F49" s="6">
        <f>'PY-2'!F16</f>
        <v>98929</v>
      </c>
      <c r="G49" s="6">
        <f>'PY-2'!G16</f>
        <v>45266</v>
      </c>
      <c r="H49" s="6">
        <f>'PY-2'!H16</f>
        <v>61131</v>
      </c>
      <c r="I49" s="6">
        <f>'PY-2'!I16</f>
        <v>77771</v>
      </c>
      <c r="J49" s="6">
        <f>'PY-2'!J16</f>
        <v>89238</v>
      </c>
      <c r="K49" s="6">
        <f>'PY-2'!K16</f>
        <v>49076</v>
      </c>
      <c r="L49" s="6">
        <f>'PY-2'!L16</f>
        <v>85693</v>
      </c>
      <c r="M49" s="6">
        <f>'PY-2'!M16</f>
        <v>45320</v>
      </c>
      <c r="N49" s="6">
        <f>'PY-2'!N16</f>
        <v>79905</v>
      </c>
      <c r="O49" s="6">
        <f t="shared" si="1"/>
        <v>689507</v>
      </c>
      <c r="P49" s="6">
        <f t="shared" si="2"/>
        <v>429513</v>
      </c>
      <c r="Q49" t="str">
        <f t="shared" si="6"/>
        <v>PY-2</v>
      </c>
    </row>
    <row r="50" spans="1:17" x14ac:dyDescent="0.35">
      <c r="A50" t="str">
        <f>'PY-2'!A17</f>
        <v>Metro Logistics</v>
      </c>
      <c r="B50" t="str">
        <f>'PY-2'!B17</f>
        <v>Learnerships</v>
      </c>
      <c r="C50" s="6">
        <f>'PY-2'!C17</f>
        <v>97292</v>
      </c>
      <c r="D50" s="6">
        <f>'PY-2'!D17</f>
        <v>49531</v>
      </c>
      <c r="E50" s="6">
        <f>'PY-2'!E17</f>
        <v>31992</v>
      </c>
      <c r="F50" s="6">
        <f>'PY-2'!F17</f>
        <v>49813</v>
      </c>
      <c r="G50" s="6">
        <f>'PY-2'!G17</f>
        <v>83134</v>
      </c>
      <c r="H50" s="6">
        <f>'PY-2'!H17</f>
        <v>83398</v>
      </c>
      <c r="I50" s="6">
        <f>'PY-2'!I17</f>
        <v>94184</v>
      </c>
      <c r="J50" s="6">
        <f>'PY-2'!J17</f>
        <v>94291</v>
      </c>
      <c r="K50" s="6">
        <f>'PY-2'!K17</f>
        <v>25244</v>
      </c>
      <c r="L50" s="6">
        <f>'PY-2'!L17</f>
        <v>64994</v>
      </c>
      <c r="M50" s="6">
        <f>'PY-2'!M17</f>
        <v>44351</v>
      </c>
      <c r="N50" s="6">
        <f>'PY-2'!N17</f>
        <v>32665</v>
      </c>
      <c r="O50" s="6">
        <f t="shared" si="1"/>
        <v>750889</v>
      </c>
      <c r="P50" s="6">
        <f t="shared" si="2"/>
        <v>583635</v>
      </c>
      <c r="Q50" t="str">
        <f t="shared" si="6"/>
        <v>PY-2</v>
      </c>
    </row>
    <row r="51" spans="1:17" x14ac:dyDescent="0.35">
      <c r="A51" t="str">
        <f>'PY-2'!A18</f>
        <v>Greenfield High School</v>
      </c>
      <c r="B51" t="str">
        <f>'PY-2'!B18</f>
        <v>TAP Business</v>
      </c>
      <c r="C51" s="6">
        <f>'PY-2'!C18</f>
        <v>63551</v>
      </c>
      <c r="D51" s="6">
        <f>'PY-2'!D18</f>
        <v>353</v>
      </c>
      <c r="E51" s="6">
        <f>'PY-2'!E18</f>
        <v>79834</v>
      </c>
      <c r="F51" s="6">
        <f>'PY-2'!F18</f>
        <v>72196</v>
      </c>
      <c r="G51" s="6">
        <f>'PY-2'!G18</f>
        <v>52773</v>
      </c>
      <c r="H51" s="6">
        <f>'PY-2'!H18</f>
        <v>83092</v>
      </c>
      <c r="I51" s="6">
        <f>'PY-2'!I18</f>
        <v>4698</v>
      </c>
      <c r="J51" s="6">
        <f>'PY-2'!J18</f>
        <v>39714</v>
      </c>
      <c r="K51" s="6">
        <f>'PY-2'!K18</f>
        <v>25989</v>
      </c>
      <c r="L51" s="6">
        <f>'PY-2'!L18</f>
        <v>18849</v>
      </c>
      <c r="M51" s="6">
        <f>'PY-2'!M18</f>
        <v>43982</v>
      </c>
      <c r="N51" s="6">
        <f>'PY-2'!N18</f>
        <v>18532</v>
      </c>
      <c r="O51" s="6">
        <f t="shared" si="1"/>
        <v>503563</v>
      </c>
      <c r="P51" s="6">
        <f t="shared" si="2"/>
        <v>396211</v>
      </c>
      <c r="Q51" t="str">
        <f t="shared" si="6"/>
        <v>PY-2</v>
      </c>
    </row>
    <row r="52" spans="1:17" x14ac:dyDescent="0.35">
      <c r="A52" t="str">
        <f>'PY-2'!A19</f>
        <v>AVI</v>
      </c>
      <c r="B52" t="str">
        <f>'PY-2'!B19</f>
        <v xml:space="preserve">Compliance Training </v>
      </c>
      <c r="C52" s="6">
        <f>'PY-2'!C19</f>
        <v>78568</v>
      </c>
      <c r="D52" s="6">
        <f>'PY-2'!D19</f>
        <v>6918</v>
      </c>
      <c r="E52" s="6">
        <f>'PY-2'!E19</f>
        <v>68421</v>
      </c>
      <c r="F52" s="6">
        <f>'PY-2'!F19</f>
        <v>14904</v>
      </c>
      <c r="G52" s="6">
        <f>'PY-2'!G19</f>
        <v>54619</v>
      </c>
      <c r="H52" s="6">
        <f>'PY-2'!H19</f>
        <v>79637</v>
      </c>
      <c r="I52" s="6">
        <f>'PY-2'!I19</f>
        <v>21862</v>
      </c>
      <c r="J52" s="6">
        <f>'PY-2'!J19</f>
        <v>33997</v>
      </c>
      <c r="K52" s="6">
        <f>'PY-2'!K19</f>
        <v>92472</v>
      </c>
      <c r="L52" s="6">
        <f>'PY-2'!L19</f>
        <v>82592</v>
      </c>
      <c r="M52" s="6">
        <f>'PY-2'!M19</f>
        <v>68521</v>
      </c>
      <c r="N52" s="6">
        <f>'PY-2'!N19</f>
        <v>13082</v>
      </c>
      <c r="O52" s="6">
        <f t="shared" si="1"/>
        <v>615593</v>
      </c>
      <c r="P52" s="6">
        <f t="shared" si="2"/>
        <v>358926</v>
      </c>
      <c r="Q52" t="str">
        <f t="shared" si="6"/>
        <v>PY-2</v>
      </c>
    </row>
    <row r="53" spans="1:17" x14ac:dyDescent="0.35">
      <c r="A53" t="str">
        <f>'PY-2'!A20</f>
        <v>Greenfield High School</v>
      </c>
      <c r="B53" t="str">
        <f>'PY-2'!B20</f>
        <v>Learnerships</v>
      </c>
      <c r="C53" s="6">
        <f>'PY-2'!C20</f>
        <v>71628</v>
      </c>
      <c r="D53" s="6">
        <f>'PY-2'!D20</f>
        <v>72777</v>
      </c>
      <c r="E53" s="6">
        <f>'PY-2'!E20</f>
        <v>40370</v>
      </c>
      <c r="F53" s="6">
        <f>'PY-2'!F20</f>
        <v>37175</v>
      </c>
      <c r="G53" s="6">
        <f>'PY-2'!G20</f>
        <v>31696</v>
      </c>
      <c r="H53" s="6">
        <f>'PY-2'!H20</f>
        <v>56035</v>
      </c>
      <c r="I53" s="6">
        <f>'PY-2'!I20</f>
        <v>90271</v>
      </c>
      <c r="J53" s="6">
        <f>'PY-2'!J20</f>
        <v>79775</v>
      </c>
      <c r="K53" s="6">
        <f>'PY-2'!K20</f>
        <v>58232</v>
      </c>
      <c r="L53" s="6">
        <f>'PY-2'!L20</f>
        <v>29684</v>
      </c>
      <c r="M53" s="6">
        <f>'PY-2'!M20</f>
        <v>54389</v>
      </c>
      <c r="N53" s="6">
        <f>'PY-2'!N20</f>
        <v>11931</v>
      </c>
      <c r="O53" s="6">
        <f t="shared" si="1"/>
        <v>633963</v>
      </c>
      <c r="P53" s="6">
        <f t="shared" si="2"/>
        <v>479727</v>
      </c>
      <c r="Q53" t="str">
        <f t="shared" si="6"/>
        <v>PY-2</v>
      </c>
    </row>
    <row r="54" spans="1:17" x14ac:dyDescent="0.35">
      <c r="A54" t="str">
        <f>'PY-2'!A21</f>
        <v>Metro Logistics</v>
      </c>
      <c r="B54" t="str">
        <f>'PY-2'!B21</f>
        <v xml:space="preserve">Compliance Training </v>
      </c>
      <c r="C54" s="6">
        <f>'PY-2'!C21</f>
        <v>6117</v>
      </c>
      <c r="D54" s="6">
        <f>'PY-2'!D21</f>
        <v>20075</v>
      </c>
      <c r="E54" s="6">
        <f>'PY-2'!E21</f>
        <v>49307</v>
      </c>
      <c r="F54" s="6">
        <f>'PY-2'!F21</f>
        <v>81131</v>
      </c>
      <c r="G54" s="6">
        <f>'PY-2'!G21</f>
        <v>7639</v>
      </c>
      <c r="H54" s="6">
        <f>'PY-2'!H21</f>
        <v>36568</v>
      </c>
      <c r="I54" s="6">
        <f>'PY-2'!I21</f>
        <v>82818</v>
      </c>
      <c r="J54" s="6">
        <f>'PY-2'!J21</f>
        <v>84147</v>
      </c>
      <c r="K54" s="6">
        <f>'PY-2'!K21</f>
        <v>16175</v>
      </c>
      <c r="L54" s="6">
        <f>'PY-2'!L21</f>
        <v>67557</v>
      </c>
      <c r="M54" s="6">
        <f>'PY-2'!M21</f>
        <v>1729</v>
      </c>
      <c r="N54" s="6">
        <f>'PY-2'!N21</f>
        <v>95125</v>
      </c>
      <c r="O54" s="6">
        <f t="shared" si="1"/>
        <v>548388</v>
      </c>
      <c r="P54" s="6">
        <f t="shared" si="2"/>
        <v>367802</v>
      </c>
      <c r="Q54" t="str">
        <f t="shared" si="6"/>
        <v>PY-2</v>
      </c>
    </row>
    <row r="55" spans="1:17" x14ac:dyDescent="0.35">
      <c r="A55" t="str">
        <f>'PY-2'!A22</f>
        <v>ABC Manufacturing</v>
      </c>
      <c r="B55" t="str">
        <f>'PY-2'!B22</f>
        <v>Learnerships</v>
      </c>
      <c r="C55" s="6">
        <f>'PY-2'!C22</f>
        <v>4962</v>
      </c>
      <c r="D55" s="6">
        <f>'PY-2'!D22</f>
        <v>43287</v>
      </c>
      <c r="E55" s="6">
        <f>'PY-2'!E22</f>
        <v>39213</v>
      </c>
      <c r="F55" s="6">
        <f>'PY-2'!F22</f>
        <v>86493</v>
      </c>
      <c r="G55" s="6">
        <f>'PY-2'!G22</f>
        <v>94913</v>
      </c>
      <c r="H55" s="6">
        <f>'PY-2'!H22</f>
        <v>65263</v>
      </c>
      <c r="I55" s="6">
        <f>'PY-2'!I22</f>
        <v>26375</v>
      </c>
      <c r="J55" s="6">
        <f>'PY-2'!J22</f>
        <v>79762</v>
      </c>
      <c r="K55" s="6">
        <f>'PY-2'!K22</f>
        <v>20522</v>
      </c>
      <c r="L55" s="6">
        <f>'PY-2'!L22</f>
        <v>61022</v>
      </c>
      <c r="M55" s="6">
        <f>'PY-2'!M22</f>
        <v>40881</v>
      </c>
      <c r="N55" s="6">
        <f>'PY-2'!N22</f>
        <v>75314</v>
      </c>
      <c r="O55" s="6">
        <f t="shared" si="1"/>
        <v>638007</v>
      </c>
      <c r="P55" s="6">
        <f t="shared" si="2"/>
        <v>440268</v>
      </c>
      <c r="Q55" t="str">
        <f t="shared" si="6"/>
        <v>PY-2</v>
      </c>
    </row>
    <row r="56" spans="1:17" x14ac:dyDescent="0.35">
      <c r="A56" t="str">
        <f>'PY-2'!A23</f>
        <v>Speccon</v>
      </c>
      <c r="B56" t="str">
        <f>'PY-2'!B23</f>
        <v>Learnerships</v>
      </c>
      <c r="C56" s="6">
        <f>'PY-2'!C23</f>
        <v>18977</v>
      </c>
      <c r="D56" s="6">
        <f>'PY-2'!D23</f>
        <v>82985</v>
      </c>
      <c r="E56" s="6">
        <f>'PY-2'!E23</f>
        <v>736</v>
      </c>
      <c r="F56" s="6">
        <f>'PY-2'!F23</f>
        <v>84854</v>
      </c>
      <c r="G56" s="6">
        <f>'PY-2'!G23</f>
        <v>83720</v>
      </c>
      <c r="H56" s="6">
        <f>'PY-2'!H23</f>
        <v>83428</v>
      </c>
      <c r="I56" s="6">
        <f>'PY-2'!I23</f>
        <v>72714</v>
      </c>
      <c r="J56" s="6">
        <f>'PY-2'!J23</f>
        <v>68480</v>
      </c>
      <c r="K56" s="6">
        <f>'PY-2'!K23</f>
        <v>48704</v>
      </c>
      <c r="L56" s="6">
        <f>'PY-2'!L23</f>
        <v>61096</v>
      </c>
      <c r="M56" s="6">
        <f>'PY-2'!M23</f>
        <v>56811</v>
      </c>
      <c r="N56" s="6">
        <f>'PY-2'!N23</f>
        <v>59550</v>
      </c>
      <c r="O56" s="6">
        <f t="shared" si="1"/>
        <v>722055</v>
      </c>
      <c r="P56" s="6">
        <f t="shared" si="2"/>
        <v>495894</v>
      </c>
      <c r="Q56" t="str">
        <f t="shared" si="6"/>
        <v>PY-2</v>
      </c>
    </row>
    <row r="57" spans="1:17" x14ac:dyDescent="0.35">
      <c r="A57" t="str">
        <f>'PY-2'!A24</f>
        <v>Greenfield High School</v>
      </c>
      <c r="B57" t="str">
        <f>'PY-2'!B24</f>
        <v>Other Courses</v>
      </c>
      <c r="C57" s="6">
        <f>'PY-2'!C24</f>
        <v>46809</v>
      </c>
      <c r="D57" s="6">
        <f>'PY-2'!D24</f>
        <v>15791</v>
      </c>
      <c r="E57" s="6">
        <f>'PY-2'!E24</f>
        <v>42852</v>
      </c>
      <c r="F57" s="6">
        <f>'PY-2'!F24</f>
        <v>17978</v>
      </c>
      <c r="G57" s="6">
        <f>'PY-2'!G24</f>
        <v>47721</v>
      </c>
      <c r="H57" s="6">
        <f>'PY-2'!H24</f>
        <v>15551</v>
      </c>
      <c r="I57" s="6">
        <f>'PY-2'!I24</f>
        <v>77403</v>
      </c>
      <c r="J57" s="6">
        <f>'PY-2'!J24</f>
        <v>52256</v>
      </c>
      <c r="K57" s="6">
        <f>'PY-2'!K24</f>
        <v>24939</v>
      </c>
      <c r="L57" s="6">
        <f>'PY-2'!L24</f>
        <v>13037</v>
      </c>
      <c r="M57" s="6">
        <f>'PY-2'!M24</f>
        <v>69727</v>
      </c>
      <c r="N57" s="6">
        <f>'PY-2'!N24</f>
        <v>39365</v>
      </c>
      <c r="O57" s="6">
        <f t="shared" si="1"/>
        <v>463429</v>
      </c>
      <c r="P57" s="6">
        <f t="shared" si="2"/>
        <v>316361</v>
      </c>
      <c r="Q57" t="str">
        <f t="shared" si="6"/>
        <v>PY-2</v>
      </c>
    </row>
    <row r="58" spans="1:17" x14ac:dyDescent="0.35">
      <c r="A58" t="str">
        <f>'PY-2'!A25</f>
        <v>AVI</v>
      </c>
      <c r="B58" t="str">
        <f>'PY-2'!B25</f>
        <v>TAP Business</v>
      </c>
      <c r="C58" s="6">
        <f>'PY-2'!C25</f>
        <v>56596</v>
      </c>
      <c r="D58" s="6">
        <f>'PY-2'!D25</f>
        <v>70812</v>
      </c>
      <c r="E58" s="6">
        <f>'PY-2'!E25</f>
        <v>18500</v>
      </c>
      <c r="F58" s="6">
        <f>'PY-2'!F25</f>
        <v>39804</v>
      </c>
      <c r="G58" s="6">
        <f>'PY-2'!G25</f>
        <v>40514</v>
      </c>
      <c r="H58" s="6">
        <f>'PY-2'!H25</f>
        <v>76487</v>
      </c>
      <c r="I58" s="6">
        <f>'PY-2'!I25</f>
        <v>14079</v>
      </c>
      <c r="J58" s="6">
        <f>'PY-2'!J25</f>
        <v>29545</v>
      </c>
      <c r="K58" s="6">
        <f>'PY-2'!K25</f>
        <v>54200</v>
      </c>
      <c r="L58" s="6">
        <f>'PY-2'!L25</f>
        <v>21489</v>
      </c>
      <c r="M58" s="6">
        <f>'PY-2'!M25</f>
        <v>69592</v>
      </c>
      <c r="N58" s="6">
        <f>'PY-2'!N25</f>
        <v>1152</v>
      </c>
      <c r="O58" s="6">
        <f t="shared" si="1"/>
        <v>492770</v>
      </c>
      <c r="P58" s="6">
        <f t="shared" si="2"/>
        <v>346337</v>
      </c>
      <c r="Q58" t="str">
        <f t="shared" si="6"/>
        <v>PY-2</v>
      </c>
    </row>
    <row r="59" spans="1:17" x14ac:dyDescent="0.35">
      <c r="A59" t="str">
        <f>'PY-2'!A26</f>
        <v>Tech Solutions SA</v>
      </c>
      <c r="B59" t="str">
        <f>'PY-2'!B26</f>
        <v>Other Courses</v>
      </c>
      <c r="C59" s="6">
        <f>'PY-2'!C26</f>
        <v>71363</v>
      </c>
      <c r="D59" s="6">
        <f>'PY-2'!D26</f>
        <v>94500</v>
      </c>
      <c r="E59" s="6">
        <f>'PY-2'!E26</f>
        <v>93379</v>
      </c>
      <c r="F59" s="6">
        <f>'PY-2'!F26</f>
        <v>59648</v>
      </c>
      <c r="G59" s="6">
        <f>'PY-2'!G26</f>
        <v>7835</v>
      </c>
      <c r="H59" s="6">
        <f>'PY-2'!H26</f>
        <v>66973</v>
      </c>
      <c r="I59" s="6">
        <f>'PY-2'!I26</f>
        <v>8832</v>
      </c>
      <c r="J59" s="6">
        <f>'PY-2'!J26</f>
        <v>61338</v>
      </c>
      <c r="K59" s="6">
        <f>'PY-2'!K26</f>
        <v>55052</v>
      </c>
      <c r="L59" s="6">
        <f>'PY-2'!L26</f>
        <v>51692</v>
      </c>
      <c r="M59" s="6">
        <f>'PY-2'!M26</f>
        <v>66846</v>
      </c>
      <c r="N59" s="6">
        <f>'PY-2'!N26</f>
        <v>48873</v>
      </c>
      <c r="O59" s="6">
        <f t="shared" si="1"/>
        <v>686331</v>
      </c>
      <c r="P59" s="6">
        <f t="shared" si="2"/>
        <v>463868</v>
      </c>
      <c r="Q59" t="str">
        <f t="shared" si="6"/>
        <v>PY-2</v>
      </c>
    </row>
    <row r="60" spans="1:17" x14ac:dyDescent="0.35">
      <c r="A60" t="str">
        <f>'PY-2'!A27</f>
        <v>AVI</v>
      </c>
      <c r="B60" t="str">
        <f>'PY-2'!B27</f>
        <v>Other Courses</v>
      </c>
      <c r="C60" s="6">
        <f>'PY-2'!C27</f>
        <v>77611</v>
      </c>
      <c r="D60" s="6">
        <f>'PY-2'!D27</f>
        <v>51419</v>
      </c>
      <c r="E60" s="6">
        <f>'PY-2'!E27</f>
        <v>40868</v>
      </c>
      <c r="F60" s="6">
        <f>'PY-2'!F27</f>
        <v>1143</v>
      </c>
      <c r="G60" s="6">
        <f>'PY-2'!G27</f>
        <v>64394</v>
      </c>
      <c r="H60" s="6">
        <f>'PY-2'!H27</f>
        <v>19084</v>
      </c>
      <c r="I60" s="6">
        <f>'PY-2'!I27</f>
        <v>4594</v>
      </c>
      <c r="J60" s="6">
        <f>'PY-2'!J27</f>
        <v>28705</v>
      </c>
      <c r="K60" s="6">
        <f>'PY-2'!K27</f>
        <v>71930</v>
      </c>
      <c r="L60" s="6">
        <f>'PY-2'!L27</f>
        <v>79238</v>
      </c>
      <c r="M60" s="6">
        <f>'PY-2'!M27</f>
        <v>63454</v>
      </c>
      <c r="N60" s="6">
        <f>'PY-2'!N27</f>
        <v>61534</v>
      </c>
      <c r="O60" s="6">
        <f t="shared" si="1"/>
        <v>563974</v>
      </c>
      <c r="P60" s="6">
        <f t="shared" si="2"/>
        <v>287818</v>
      </c>
      <c r="Q60" t="str">
        <f t="shared" si="6"/>
        <v>PY-2</v>
      </c>
    </row>
    <row r="61" spans="1:17" x14ac:dyDescent="0.35">
      <c r="A61" t="str">
        <f>'PY-2'!A28</f>
        <v>Metro Logistics</v>
      </c>
      <c r="B61" t="str">
        <f>'PY-2'!B28</f>
        <v>Other Courses</v>
      </c>
      <c r="C61" s="6">
        <f>'PY-2'!C28</f>
        <v>80116</v>
      </c>
      <c r="D61" s="6">
        <f>'PY-2'!D28</f>
        <v>11740</v>
      </c>
      <c r="E61" s="6">
        <f>'PY-2'!E28</f>
        <v>47807</v>
      </c>
      <c r="F61" s="6">
        <f>'PY-2'!F28</f>
        <v>43990</v>
      </c>
      <c r="G61" s="6">
        <f>'PY-2'!G28</f>
        <v>77790</v>
      </c>
      <c r="H61" s="6">
        <f>'PY-2'!H28</f>
        <v>20704</v>
      </c>
      <c r="I61" s="6">
        <f>'PY-2'!I28</f>
        <v>39521</v>
      </c>
      <c r="J61" s="6">
        <f>'PY-2'!J28</f>
        <v>10486</v>
      </c>
      <c r="K61" s="6">
        <f>'PY-2'!K28</f>
        <v>51166</v>
      </c>
      <c r="L61" s="6">
        <f>'PY-2'!L28</f>
        <v>21500</v>
      </c>
      <c r="M61" s="6">
        <f>'PY-2'!M28</f>
        <v>61646</v>
      </c>
      <c r="N61" s="6">
        <f>'PY-2'!N28</f>
        <v>49427</v>
      </c>
      <c r="O61" s="6">
        <f t="shared" si="1"/>
        <v>515893</v>
      </c>
      <c r="P61" s="6">
        <f t="shared" si="2"/>
        <v>332154</v>
      </c>
      <c r="Q61" t="str">
        <f t="shared" si="6"/>
        <v>PY-2</v>
      </c>
    </row>
    <row r="62" spans="1:17" x14ac:dyDescent="0.35">
      <c r="A62" t="str">
        <f>'PY-1'!A2</f>
        <v>Premier Academy</v>
      </c>
      <c r="B62" t="str">
        <f>'PY-1'!B2</f>
        <v>Learnerships</v>
      </c>
      <c r="C62" s="6">
        <f>'PY-1'!C2</f>
        <v>86668</v>
      </c>
      <c r="D62" s="6">
        <f>'PY-1'!D2</f>
        <v>53886</v>
      </c>
      <c r="E62" s="6">
        <f>'PY-1'!E2</f>
        <v>57958</v>
      </c>
      <c r="F62" s="6">
        <f>'PY-1'!F2</f>
        <v>12816</v>
      </c>
      <c r="G62" s="6">
        <f>'PY-1'!G2</f>
        <v>16718</v>
      </c>
      <c r="H62" s="6">
        <f>'PY-1'!H2</f>
        <v>98539</v>
      </c>
      <c r="I62" s="6">
        <f>'PY-1'!I2</f>
        <v>7259</v>
      </c>
      <c r="J62" s="6">
        <f>'PY-1'!J2</f>
        <v>17400</v>
      </c>
      <c r="K62" s="6">
        <f>'PY-1'!K2</f>
        <v>28281</v>
      </c>
      <c r="L62" s="6">
        <f>'PY-1'!L2</f>
        <v>69741</v>
      </c>
      <c r="M62" s="6">
        <f>'PY-1'!M2</f>
        <v>85941</v>
      </c>
      <c r="N62" s="6">
        <f>'PY-1'!N2</f>
        <v>87535</v>
      </c>
      <c r="O62" s="6">
        <f t="shared" si="1"/>
        <v>622742</v>
      </c>
      <c r="P62" s="6">
        <f t="shared" si="2"/>
        <v>351244</v>
      </c>
      <c r="Q62" t="s">
        <v>106</v>
      </c>
    </row>
    <row r="63" spans="1:17" x14ac:dyDescent="0.35">
      <c r="A63" t="str">
        <f>'PY-1'!A3</f>
        <v>ABC Manufacturing</v>
      </c>
      <c r="B63" t="str">
        <f>'PY-1'!B3</f>
        <v>Learnerships</v>
      </c>
      <c r="C63" s="6">
        <f>'PY-1'!C3</f>
        <v>86724</v>
      </c>
      <c r="D63" s="6">
        <f>'PY-1'!D3</f>
        <v>19027</v>
      </c>
      <c r="E63" s="6">
        <f>'PY-1'!E3</f>
        <v>8960</v>
      </c>
      <c r="F63" s="6">
        <f>'PY-1'!F3</f>
        <v>70952</v>
      </c>
      <c r="G63" s="6">
        <f>'PY-1'!G3</f>
        <v>96431</v>
      </c>
      <c r="H63" s="6">
        <f>'PY-1'!H3</f>
        <v>74451</v>
      </c>
      <c r="I63" s="6">
        <f>'PY-1'!I3</f>
        <v>13212</v>
      </c>
      <c r="J63" s="6">
        <f>'PY-1'!J3</f>
        <v>79721</v>
      </c>
      <c r="K63" s="6">
        <f>'PY-1'!K3</f>
        <v>21558</v>
      </c>
      <c r="L63" s="6">
        <f>'PY-1'!L3</f>
        <v>10329</v>
      </c>
      <c r="M63" s="6">
        <f>'PY-1'!M3</f>
        <v>38972</v>
      </c>
      <c r="N63" s="6">
        <f>'PY-1'!N3</f>
        <v>22230</v>
      </c>
      <c r="O63" s="6">
        <f t="shared" si="1"/>
        <v>542567</v>
      </c>
      <c r="P63" s="6">
        <f t="shared" si="2"/>
        <v>449478</v>
      </c>
      <c r="Q63" t="str">
        <f t="shared" ref="Q63:Q87" si="8">Q62</f>
        <v>PY-1</v>
      </c>
    </row>
    <row r="64" spans="1:17" x14ac:dyDescent="0.35">
      <c r="A64" t="str">
        <f>'PY-1'!A4</f>
        <v>Speccon</v>
      </c>
      <c r="B64" t="str">
        <f>'PY-1'!B4</f>
        <v>Learnerships</v>
      </c>
      <c r="C64" s="6">
        <f>'PY-1'!C4</f>
        <v>23769</v>
      </c>
      <c r="D64" s="6">
        <f>'PY-1'!D4</f>
        <v>11768</v>
      </c>
      <c r="E64" s="6">
        <f>'PY-1'!E4</f>
        <v>92636</v>
      </c>
      <c r="F64" s="6">
        <f>'PY-1'!F4</f>
        <v>97495</v>
      </c>
      <c r="G64" s="6">
        <f>'PY-1'!G4</f>
        <v>62683</v>
      </c>
      <c r="H64" s="6">
        <f>'PY-1'!H4</f>
        <v>1110</v>
      </c>
      <c r="I64" s="6">
        <f>'PY-1'!I4</f>
        <v>40640</v>
      </c>
      <c r="J64" s="6">
        <f>'PY-1'!J4</f>
        <v>7503</v>
      </c>
      <c r="K64" s="6">
        <f>'PY-1'!K4</f>
        <v>31313</v>
      </c>
      <c r="L64" s="6">
        <f>'PY-1'!L4</f>
        <v>1392</v>
      </c>
      <c r="M64" s="6">
        <f>'PY-1'!M4</f>
        <v>15905</v>
      </c>
      <c r="N64" s="6">
        <f>'PY-1'!N4</f>
        <v>73944</v>
      </c>
      <c r="O64" s="6">
        <f t="shared" si="1"/>
        <v>460158</v>
      </c>
      <c r="P64" s="6">
        <f t="shared" si="2"/>
        <v>337604</v>
      </c>
      <c r="Q64" t="str">
        <f t="shared" si="8"/>
        <v>PY-1</v>
      </c>
    </row>
    <row r="65" spans="1:17" x14ac:dyDescent="0.35">
      <c r="A65" t="str">
        <f>'PY-1'!A5</f>
        <v>Premier Academy</v>
      </c>
      <c r="B65" t="str">
        <f>'PY-1'!B5</f>
        <v>TAP Business</v>
      </c>
      <c r="C65" s="6">
        <f>'PY-1'!C5</f>
        <v>92521</v>
      </c>
      <c r="D65" s="6">
        <f>'PY-1'!D5</f>
        <v>89792</v>
      </c>
      <c r="E65" s="6">
        <f>'PY-1'!E5</f>
        <v>866</v>
      </c>
      <c r="F65" s="6">
        <f>'PY-1'!F5</f>
        <v>33570</v>
      </c>
      <c r="G65" s="6">
        <f>'PY-1'!G5</f>
        <v>86750</v>
      </c>
      <c r="H65" s="6">
        <f>'PY-1'!H5</f>
        <v>29535</v>
      </c>
      <c r="I65" s="6">
        <f>'PY-1'!I5</f>
        <v>9250</v>
      </c>
      <c r="J65" s="6">
        <f>'PY-1'!J5</f>
        <v>40344</v>
      </c>
      <c r="K65" s="6">
        <f>'PY-1'!K5</f>
        <v>87717</v>
      </c>
      <c r="L65" s="6">
        <f>'PY-1'!L5</f>
        <v>19757</v>
      </c>
      <c r="M65" s="6">
        <f>'PY-1'!M5</f>
        <v>98512</v>
      </c>
      <c r="N65" s="6">
        <f>'PY-1'!N5</f>
        <v>28437</v>
      </c>
      <c r="O65" s="6">
        <f t="shared" si="1"/>
        <v>617051</v>
      </c>
      <c r="P65" s="6">
        <f t="shared" si="2"/>
        <v>382628</v>
      </c>
      <c r="Q65" t="str">
        <f t="shared" si="8"/>
        <v>PY-1</v>
      </c>
    </row>
    <row r="66" spans="1:17" x14ac:dyDescent="0.35">
      <c r="A66" t="str">
        <f>'PY-1'!A6</f>
        <v>Premier Academy</v>
      </c>
      <c r="B66" t="str">
        <f>'PY-1'!B6</f>
        <v>Other Courses</v>
      </c>
      <c r="C66" s="6">
        <f>'PY-1'!C6</f>
        <v>96531</v>
      </c>
      <c r="D66" s="6">
        <f>'PY-1'!D6</f>
        <v>72509</v>
      </c>
      <c r="E66" s="6">
        <f>'PY-1'!E6</f>
        <v>5501</v>
      </c>
      <c r="F66" s="6">
        <f>'PY-1'!F6</f>
        <v>44975</v>
      </c>
      <c r="G66" s="6">
        <f>'PY-1'!G6</f>
        <v>40336</v>
      </c>
      <c r="H66" s="6">
        <f>'PY-1'!H6</f>
        <v>20414</v>
      </c>
      <c r="I66" s="6">
        <f>'PY-1'!I6</f>
        <v>76175</v>
      </c>
      <c r="J66" s="6">
        <f>'PY-1'!J6</f>
        <v>81807</v>
      </c>
      <c r="K66" s="6">
        <f>'PY-1'!K6</f>
        <v>80676</v>
      </c>
      <c r="L66" s="6">
        <f>'PY-1'!L6</f>
        <v>80175</v>
      </c>
      <c r="M66" s="6">
        <f>'PY-1'!M6</f>
        <v>817</v>
      </c>
      <c r="N66" s="6">
        <f>'PY-1'!N6</f>
        <v>91983</v>
      </c>
      <c r="O66" s="6">
        <f t="shared" si="1"/>
        <v>691899</v>
      </c>
      <c r="P66" s="6">
        <f t="shared" si="2"/>
        <v>438248</v>
      </c>
      <c r="Q66" t="str">
        <f t="shared" si="8"/>
        <v>PY-1</v>
      </c>
    </row>
    <row r="67" spans="1:17" x14ac:dyDescent="0.35">
      <c r="A67" t="str">
        <f>'PY-1'!A7</f>
        <v>Metro Logistics</v>
      </c>
      <c r="B67" t="str">
        <f>'PY-1'!B7</f>
        <v>Other Courses</v>
      </c>
      <c r="C67" s="6">
        <f>'PY-1'!C7</f>
        <v>27071</v>
      </c>
      <c r="D67" s="6">
        <f>'PY-1'!D7</f>
        <v>27158</v>
      </c>
      <c r="E67" s="6">
        <f>'PY-1'!E7</f>
        <v>81287</v>
      </c>
      <c r="F67" s="6">
        <f>'PY-1'!F7</f>
        <v>52572</v>
      </c>
      <c r="G67" s="6">
        <f>'PY-1'!G7</f>
        <v>36692</v>
      </c>
      <c r="H67" s="6">
        <f>'PY-1'!H7</f>
        <v>64136</v>
      </c>
      <c r="I67" s="6">
        <f>'PY-1'!I7</f>
        <v>15661</v>
      </c>
      <c r="J67" s="6">
        <f>'PY-1'!J7</f>
        <v>76738</v>
      </c>
      <c r="K67" s="6">
        <f>'PY-1'!K7</f>
        <v>72365</v>
      </c>
      <c r="L67" s="6">
        <f>'PY-1'!L7</f>
        <v>85212</v>
      </c>
      <c r="M67" s="6">
        <f>'PY-1'!M7</f>
        <v>62780</v>
      </c>
      <c r="N67" s="6">
        <f>'PY-1'!N7</f>
        <v>40155</v>
      </c>
      <c r="O67" s="6">
        <f t="shared" si="1"/>
        <v>641827</v>
      </c>
      <c r="P67" s="6">
        <f t="shared" si="2"/>
        <v>381315</v>
      </c>
      <c r="Q67" t="str">
        <f t="shared" si="8"/>
        <v>PY-1</v>
      </c>
    </row>
    <row r="68" spans="1:17" x14ac:dyDescent="0.35">
      <c r="A68" t="str">
        <f>'PY-1'!A8</f>
        <v>Speccon</v>
      </c>
      <c r="B68" t="str">
        <f>'PY-1'!B8</f>
        <v>Other Courses</v>
      </c>
      <c r="C68" s="6">
        <f>'PY-1'!C8</f>
        <v>43699</v>
      </c>
      <c r="D68" s="6">
        <f>'PY-1'!D8</f>
        <v>22255</v>
      </c>
      <c r="E68" s="6">
        <f>'PY-1'!E8</f>
        <v>36994</v>
      </c>
      <c r="F68" s="6">
        <f>'PY-1'!F8</f>
        <v>43847</v>
      </c>
      <c r="G68" s="6">
        <f>'PY-1'!G8</f>
        <v>34776</v>
      </c>
      <c r="H68" s="6">
        <f>'PY-1'!H8</f>
        <v>49779</v>
      </c>
      <c r="I68" s="6">
        <f>'PY-1'!I8</f>
        <v>63079</v>
      </c>
      <c r="J68" s="6">
        <f>'PY-1'!J8</f>
        <v>77418</v>
      </c>
      <c r="K68" s="6">
        <f>'PY-1'!K8</f>
        <v>25161</v>
      </c>
      <c r="L68" s="6">
        <f>'PY-1'!L8</f>
        <v>90840</v>
      </c>
      <c r="M68" s="6">
        <f>'PY-1'!M8</f>
        <v>37173</v>
      </c>
      <c r="N68" s="6">
        <f>'PY-1'!N8</f>
        <v>84142</v>
      </c>
      <c r="O68" s="6">
        <f t="shared" ref="O68:O131" si="9">SUM(C68:N68)</f>
        <v>609163</v>
      </c>
      <c r="P68" s="6">
        <f t="shared" ref="P68:P131" si="10">O68-SUM(K68:N68)</f>
        <v>371847</v>
      </c>
      <c r="Q68" t="str">
        <f t="shared" si="8"/>
        <v>PY-1</v>
      </c>
    </row>
    <row r="69" spans="1:17" x14ac:dyDescent="0.35">
      <c r="A69" t="str">
        <f>'PY-1'!A9</f>
        <v>Metro Logistics</v>
      </c>
      <c r="B69" t="str">
        <f>'PY-1'!B9</f>
        <v>TAP Business</v>
      </c>
      <c r="C69" s="6">
        <f>'PY-1'!C9</f>
        <v>60573</v>
      </c>
      <c r="D69" s="6">
        <f>'PY-1'!D9</f>
        <v>48884</v>
      </c>
      <c r="E69" s="6">
        <f>'PY-1'!E9</f>
        <v>3963</v>
      </c>
      <c r="F69" s="6">
        <f>'PY-1'!F9</f>
        <v>65576</v>
      </c>
      <c r="G69" s="6">
        <f>'PY-1'!G9</f>
        <v>7898</v>
      </c>
      <c r="H69" s="6">
        <f>'PY-1'!H9</f>
        <v>40048</v>
      </c>
      <c r="I69" s="6">
        <f>'PY-1'!I9</f>
        <v>53819</v>
      </c>
      <c r="J69" s="6">
        <f>'PY-1'!J9</f>
        <v>57555</v>
      </c>
      <c r="K69" s="6">
        <f>'PY-1'!K9</f>
        <v>93091</v>
      </c>
      <c r="L69" s="6">
        <f>'PY-1'!L9</f>
        <v>76652</v>
      </c>
      <c r="M69" s="6">
        <f>'PY-1'!M9</f>
        <v>72274</v>
      </c>
      <c r="N69" s="6">
        <f>'PY-1'!N9</f>
        <v>79633</v>
      </c>
      <c r="O69" s="6">
        <f t="shared" si="9"/>
        <v>659966</v>
      </c>
      <c r="P69" s="6">
        <f t="shared" si="10"/>
        <v>338316</v>
      </c>
      <c r="Q69" t="str">
        <f t="shared" si="8"/>
        <v>PY-1</v>
      </c>
    </row>
    <row r="70" spans="1:17" x14ac:dyDescent="0.35">
      <c r="A70" t="str">
        <f>'PY-1'!A10</f>
        <v>Metro Logistics</v>
      </c>
      <c r="B70" t="str">
        <f>'PY-1'!B10</f>
        <v>Learnerships</v>
      </c>
      <c r="C70" s="6">
        <f>'PY-1'!C10</f>
        <v>69159</v>
      </c>
      <c r="D70" s="6">
        <f>'PY-1'!D10</f>
        <v>57907</v>
      </c>
      <c r="E70" s="6">
        <f>'PY-1'!E10</f>
        <v>39444</v>
      </c>
      <c r="F70" s="6">
        <f>'PY-1'!F10</f>
        <v>91246</v>
      </c>
      <c r="G70" s="6">
        <f>'PY-1'!G10</f>
        <v>5674</v>
      </c>
      <c r="H70" s="6">
        <f>'PY-1'!H10</f>
        <v>10899</v>
      </c>
      <c r="I70" s="6">
        <f>'PY-1'!I10</f>
        <v>84163</v>
      </c>
      <c r="J70" s="6">
        <f>'PY-1'!J10</f>
        <v>26820</v>
      </c>
      <c r="K70" s="6">
        <f>'PY-1'!K10</f>
        <v>50748</v>
      </c>
      <c r="L70" s="6">
        <f>'PY-1'!L10</f>
        <v>753</v>
      </c>
      <c r="M70" s="6">
        <f>'PY-1'!M10</f>
        <v>22087</v>
      </c>
      <c r="N70" s="6">
        <f>'PY-1'!N10</f>
        <v>74365</v>
      </c>
      <c r="O70" s="6">
        <f t="shared" si="9"/>
        <v>533265</v>
      </c>
      <c r="P70" s="6">
        <f t="shared" si="10"/>
        <v>385312</v>
      </c>
      <c r="Q70" t="str">
        <f t="shared" si="8"/>
        <v>PY-1</v>
      </c>
    </row>
    <row r="71" spans="1:17" x14ac:dyDescent="0.35">
      <c r="A71" t="str">
        <f>'PY-1'!A11</f>
        <v>ABC Manufacturing</v>
      </c>
      <c r="B71" t="str">
        <f>'PY-1'!B11</f>
        <v>TAP Business</v>
      </c>
      <c r="C71" s="6">
        <f>'PY-1'!C11</f>
        <v>86096</v>
      </c>
      <c r="D71" s="6">
        <f>'PY-1'!D11</f>
        <v>63697</v>
      </c>
      <c r="E71" s="6">
        <f>'PY-1'!E11</f>
        <v>84931</v>
      </c>
      <c r="F71" s="6">
        <f>'PY-1'!F11</f>
        <v>44311</v>
      </c>
      <c r="G71" s="6">
        <f>'PY-1'!G11</f>
        <v>94733</v>
      </c>
      <c r="H71" s="6">
        <f>'PY-1'!H11</f>
        <v>47522</v>
      </c>
      <c r="I71" s="6">
        <f>'PY-1'!I11</f>
        <v>74560</v>
      </c>
      <c r="J71" s="6">
        <f>'PY-1'!J11</f>
        <v>86655</v>
      </c>
      <c r="K71" s="6">
        <f>'PY-1'!K11</f>
        <v>62365</v>
      </c>
      <c r="L71" s="6">
        <f>'PY-1'!L11</f>
        <v>34220</v>
      </c>
      <c r="M71" s="6">
        <f>'PY-1'!M11</f>
        <v>18235</v>
      </c>
      <c r="N71" s="6">
        <f>'PY-1'!N11</f>
        <v>66265</v>
      </c>
      <c r="O71" s="6">
        <f t="shared" si="9"/>
        <v>763590</v>
      </c>
      <c r="P71" s="6">
        <f t="shared" si="10"/>
        <v>582505</v>
      </c>
      <c r="Q71" t="str">
        <f t="shared" si="8"/>
        <v>PY-1</v>
      </c>
    </row>
    <row r="72" spans="1:17" x14ac:dyDescent="0.35">
      <c r="A72" t="str">
        <f>'PY-1'!A12</f>
        <v>Premier Academy</v>
      </c>
      <c r="B72" t="str">
        <f>'PY-1'!B12</f>
        <v xml:space="preserve">Compliance Training </v>
      </c>
      <c r="C72" s="6">
        <f>'PY-1'!C12</f>
        <v>96146</v>
      </c>
      <c r="D72" s="6">
        <f>'PY-1'!D12</f>
        <v>56189</v>
      </c>
      <c r="E72" s="6">
        <f>'PY-1'!E12</f>
        <v>96188</v>
      </c>
      <c r="F72" s="6">
        <f>'PY-1'!F12</f>
        <v>99668</v>
      </c>
      <c r="G72" s="6">
        <f>'PY-1'!G12</f>
        <v>61410</v>
      </c>
      <c r="H72" s="6">
        <f>'PY-1'!H12</f>
        <v>27852</v>
      </c>
      <c r="I72" s="6">
        <f>'PY-1'!I12</f>
        <v>95420</v>
      </c>
      <c r="J72" s="6">
        <f>'PY-1'!J12</f>
        <v>36487</v>
      </c>
      <c r="K72" s="6">
        <f>'PY-1'!K12</f>
        <v>37266</v>
      </c>
      <c r="L72" s="6">
        <f>'PY-1'!L12</f>
        <v>60747</v>
      </c>
      <c r="M72" s="6">
        <f>'PY-1'!M12</f>
        <v>48071</v>
      </c>
      <c r="N72" s="6">
        <f>'PY-1'!N12</f>
        <v>70787</v>
      </c>
      <c r="O72" s="6">
        <f t="shared" si="9"/>
        <v>786231</v>
      </c>
      <c r="P72" s="6">
        <f t="shared" si="10"/>
        <v>569360</v>
      </c>
      <c r="Q72" t="str">
        <f t="shared" si="8"/>
        <v>PY-1</v>
      </c>
    </row>
    <row r="73" spans="1:17" x14ac:dyDescent="0.35">
      <c r="A73" t="str">
        <f>'PY-1'!A13</f>
        <v>ABC Manufacturing</v>
      </c>
      <c r="B73" t="str">
        <f>'PY-1'!B13</f>
        <v>Other Courses</v>
      </c>
      <c r="C73" s="6">
        <f>'PY-1'!C13</f>
        <v>92181</v>
      </c>
      <c r="D73" s="6">
        <f>'PY-1'!D13</f>
        <v>51739</v>
      </c>
      <c r="E73" s="6">
        <f>'PY-1'!E13</f>
        <v>74041</v>
      </c>
      <c r="F73" s="6">
        <f>'PY-1'!F13</f>
        <v>17878</v>
      </c>
      <c r="G73" s="6">
        <f>'PY-1'!G13</f>
        <v>26755</v>
      </c>
      <c r="H73" s="6">
        <f>'PY-1'!H13</f>
        <v>99439</v>
      </c>
      <c r="I73" s="6">
        <f>'PY-1'!I13</f>
        <v>34118</v>
      </c>
      <c r="J73" s="6">
        <f>'PY-1'!J13</f>
        <v>70972</v>
      </c>
      <c r="K73" s="6">
        <f>'PY-1'!K13</f>
        <v>52318</v>
      </c>
      <c r="L73" s="6">
        <f>'PY-1'!L13</f>
        <v>69160</v>
      </c>
      <c r="M73" s="6">
        <f>'PY-1'!M13</f>
        <v>58427</v>
      </c>
      <c r="N73" s="6">
        <f>'PY-1'!N13</f>
        <v>47282</v>
      </c>
      <c r="O73" s="6">
        <f t="shared" si="9"/>
        <v>694310</v>
      </c>
      <c r="P73" s="6">
        <f t="shared" si="10"/>
        <v>467123</v>
      </c>
      <c r="Q73" t="str">
        <f t="shared" si="8"/>
        <v>PY-1</v>
      </c>
    </row>
    <row r="74" spans="1:17" x14ac:dyDescent="0.35">
      <c r="A74" t="str">
        <f>'PY-1'!A14</f>
        <v>Tech Solutions SA</v>
      </c>
      <c r="B74" t="str">
        <f>'PY-1'!B14</f>
        <v>Other Courses</v>
      </c>
      <c r="C74" s="6">
        <f>'PY-1'!C14</f>
        <v>15830</v>
      </c>
      <c r="D74" s="6">
        <f>'PY-1'!D14</f>
        <v>94324</v>
      </c>
      <c r="E74" s="6">
        <f>'PY-1'!E14</f>
        <v>90995</v>
      </c>
      <c r="F74" s="6">
        <f>'PY-1'!F14</f>
        <v>24432</v>
      </c>
      <c r="G74" s="6">
        <f>'PY-1'!G14</f>
        <v>49335</v>
      </c>
      <c r="H74" s="6">
        <f>'PY-1'!H14</f>
        <v>92997</v>
      </c>
      <c r="I74" s="6">
        <f>'PY-1'!I14</f>
        <v>73489</v>
      </c>
      <c r="J74" s="6">
        <f>'PY-1'!J14</f>
        <v>34679</v>
      </c>
      <c r="K74" s="6">
        <f>'PY-1'!K14</f>
        <v>4481</v>
      </c>
      <c r="L74" s="6">
        <f>'PY-1'!L14</f>
        <v>96535</v>
      </c>
      <c r="M74" s="6">
        <f>'PY-1'!M14</f>
        <v>70858</v>
      </c>
      <c r="N74" s="6">
        <f>'PY-1'!N14</f>
        <v>82564</v>
      </c>
      <c r="O74" s="6">
        <f t="shared" si="9"/>
        <v>730519</v>
      </c>
      <c r="P74" s="6">
        <f t="shared" si="10"/>
        <v>476081</v>
      </c>
      <c r="Q74" t="str">
        <f t="shared" si="8"/>
        <v>PY-1</v>
      </c>
    </row>
    <row r="75" spans="1:17" x14ac:dyDescent="0.35">
      <c r="A75" t="str">
        <f>'PY-1'!A15</f>
        <v>Greenfield High School</v>
      </c>
      <c r="B75" t="str">
        <f>'PY-1'!B15</f>
        <v>TAP Business</v>
      </c>
      <c r="C75" s="6">
        <f>'PY-1'!C15</f>
        <v>81395</v>
      </c>
      <c r="D75" s="6">
        <f>'PY-1'!D15</f>
        <v>63511</v>
      </c>
      <c r="E75" s="6">
        <f>'PY-1'!E15</f>
        <v>35782</v>
      </c>
      <c r="F75" s="6">
        <f>'PY-1'!F15</f>
        <v>14977</v>
      </c>
      <c r="G75" s="6">
        <f>'PY-1'!G15</f>
        <v>14577</v>
      </c>
      <c r="H75" s="6">
        <f>'PY-1'!H15</f>
        <v>19406</v>
      </c>
      <c r="I75" s="6">
        <f>'PY-1'!I15</f>
        <v>85474</v>
      </c>
      <c r="J75" s="6">
        <f>'PY-1'!J15</f>
        <v>37207</v>
      </c>
      <c r="K75" s="6">
        <f>'PY-1'!K15</f>
        <v>24731</v>
      </c>
      <c r="L75" s="6">
        <f>'PY-1'!L15</f>
        <v>27598</v>
      </c>
      <c r="M75" s="6">
        <f>'PY-1'!M15</f>
        <v>31697</v>
      </c>
      <c r="N75" s="6">
        <f>'PY-1'!N15</f>
        <v>90187</v>
      </c>
      <c r="O75" s="6">
        <f t="shared" si="9"/>
        <v>526542</v>
      </c>
      <c r="P75" s="6">
        <f t="shared" si="10"/>
        <v>352329</v>
      </c>
      <c r="Q75" t="str">
        <f t="shared" si="8"/>
        <v>PY-1</v>
      </c>
    </row>
    <row r="76" spans="1:17" x14ac:dyDescent="0.35">
      <c r="A76" t="str">
        <f>'PY-1'!A16</f>
        <v>AVI</v>
      </c>
      <c r="B76" t="str">
        <f>'PY-1'!B16</f>
        <v xml:space="preserve">Compliance Training </v>
      </c>
      <c r="C76" s="6">
        <f>'PY-1'!C16</f>
        <v>55886</v>
      </c>
      <c r="D76" s="6">
        <f>'PY-1'!D16</f>
        <v>65682</v>
      </c>
      <c r="E76" s="6">
        <f>'PY-1'!E16</f>
        <v>88480</v>
      </c>
      <c r="F76" s="6">
        <f>'PY-1'!F16</f>
        <v>51949</v>
      </c>
      <c r="G76" s="6">
        <f>'PY-1'!G16</f>
        <v>36557</v>
      </c>
      <c r="H76" s="6">
        <f>'PY-1'!H16</f>
        <v>95036</v>
      </c>
      <c r="I76" s="6">
        <f>'PY-1'!I16</f>
        <v>62277</v>
      </c>
      <c r="J76" s="6">
        <f>'PY-1'!J16</f>
        <v>74035</v>
      </c>
      <c r="K76" s="6">
        <f>'PY-1'!K16</f>
        <v>82677</v>
      </c>
      <c r="L76" s="6">
        <f>'PY-1'!L16</f>
        <v>86239</v>
      </c>
      <c r="M76" s="6">
        <f>'PY-1'!M16</f>
        <v>83272</v>
      </c>
      <c r="N76" s="6">
        <f>'PY-1'!N16</f>
        <v>27614</v>
      </c>
      <c r="O76" s="6">
        <f t="shared" si="9"/>
        <v>809704</v>
      </c>
      <c r="P76" s="6">
        <f t="shared" si="10"/>
        <v>529902</v>
      </c>
      <c r="Q76" t="str">
        <f t="shared" si="8"/>
        <v>PY-1</v>
      </c>
    </row>
    <row r="77" spans="1:17" x14ac:dyDescent="0.35">
      <c r="A77" t="str">
        <f>'PY-1'!A17</f>
        <v>Greenfield High School</v>
      </c>
      <c r="B77" t="str">
        <f>'PY-1'!B17</f>
        <v>Other Courses</v>
      </c>
      <c r="C77" s="6">
        <f>'PY-1'!C17</f>
        <v>96780</v>
      </c>
      <c r="D77" s="6">
        <f>'PY-1'!D17</f>
        <v>47611</v>
      </c>
      <c r="E77" s="6">
        <f>'PY-1'!E17</f>
        <v>26394</v>
      </c>
      <c r="F77" s="6">
        <f>'PY-1'!F17</f>
        <v>92710</v>
      </c>
      <c r="G77" s="6">
        <f>'PY-1'!G17</f>
        <v>69314</v>
      </c>
      <c r="H77" s="6">
        <f>'PY-1'!H17</f>
        <v>2665</v>
      </c>
      <c r="I77" s="6">
        <f>'PY-1'!I17</f>
        <v>20555</v>
      </c>
      <c r="J77" s="6">
        <f>'PY-1'!J17</f>
        <v>27650</v>
      </c>
      <c r="K77" s="6">
        <f>'PY-1'!K17</f>
        <v>51208</v>
      </c>
      <c r="L77" s="6">
        <f>'PY-1'!L17</f>
        <v>23720</v>
      </c>
      <c r="M77" s="6">
        <f>'PY-1'!M17</f>
        <v>59805</v>
      </c>
      <c r="N77" s="6">
        <f>'PY-1'!N17</f>
        <v>47735</v>
      </c>
      <c r="O77" s="6">
        <f t="shared" si="9"/>
        <v>566147</v>
      </c>
      <c r="P77" s="6">
        <f t="shared" si="10"/>
        <v>383679</v>
      </c>
      <c r="Q77" t="str">
        <f t="shared" si="8"/>
        <v>PY-1</v>
      </c>
    </row>
    <row r="78" spans="1:17" x14ac:dyDescent="0.35">
      <c r="A78" t="str">
        <f>'PY-1'!A18</f>
        <v>Tech Solutions SA</v>
      </c>
      <c r="B78" t="str">
        <f>'PY-1'!B18</f>
        <v>Learnerships</v>
      </c>
      <c r="C78" s="6">
        <f>'PY-1'!C18</f>
        <v>12779</v>
      </c>
      <c r="D78" s="6">
        <f>'PY-1'!D18</f>
        <v>28565</v>
      </c>
      <c r="E78" s="6">
        <f>'PY-1'!E18</f>
        <v>78161</v>
      </c>
      <c r="F78" s="6">
        <f>'PY-1'!F18</f>
        <v>9511</v>
      </c>
      <c r="G78" s="6">
        <f>'PY-1'!G18</f>
        <v>85293</v>
      </c>
      <c r="H78" s="6">
        <f>'PY-1'!H18</f>
        <v>46381</v>
      </c>
      <c r="I78" s="6">
        <f>'PY-1'!I18</f>
        <v>49942</v>
      </c>
      <c r="J78" s="6">
        <f>'PY-1'!J18</f>
        <v>77621</v>
      </c>
      <c r="K78" s="6">
        <f>'PY-1'!K18</f>
        <v>80514</v>
      </c>
      <c r="L78" s="6">
        <f>'PY-1'!L18</f>
        <v>55369</v>
      </c>
      <c r="M78" s="6">
        <f>'PY-1'!M18</f>
        <v>46291</v>
      </c>
      <c r="N78" s="6">
        <f>'PY-1'!N18</f>
        <v>70938</v>
      </c>
      <c r="O78" s="6">
        <f t="shared" si="9"/>
        <v>641365</v>
      </c>
      <c r="P78" s="6">
        <f t="shared" si="10"/>
        <v>388253</v>
      </c>
      <c r="Q78" t="str">
        <f t="shared" si="8"/>
        <v>PY-1</v>
      </c>
    </row>
    <row r="79" spans="1:17" x14ac:dyDescent="0.35">
      <c r="A79" t="str">
        <f>'PY-1'!A19</f>
        <v>AVI</v>
      </c>
      <c r="B79" t="str">
        <f>'PY-1'!B19</f>
        <v>Learnerships</v>
      </c>
      <c r="C79" s="6">
        <f>'PY-1'!C19</f>
        <v>59811</v>
      </c>
      <c r="D79" s="6">
        <f>'PY-1'!D19</f>
        <v>3822</v>
      </c>
      <c r="E79" s="6">
        <f>'PY-1'!E19</f>
        <v>45852</v>
      </c>
      <c r="F79" s="6">
        <f>'PY-1'!F19</f>
        <v>56155</v>
      </c>
      <c r="G79" s="6">
        <f>'PY-1'!G19</f>
        <v>40105</v>
      </c>
      <c r="H79" s="6">
        <f>'PY-1'!H19</f>
        <v>94510</v>
      </c>
      <c r="I79" s="6">
        <f>'PY-1'!I19</f>
        <v>37436</v>
      </c>
      <c r="J79" s="6">
        <f>'PY-1'!J19</f>
        <v>6454</v>
      </c>
      <c r="K79" s="6">
        <f>'PY-1'!K19</f>
        <v>66173</v>
      </c>
      <c r="L79" s="6">
        <f>'PY-1'!L19</f>
        <v>76586</v>
      </c>
      <c r="M79" s="6">
        <f>'PY-1'!M19</f>
        <v>8260</v>
      </c>
      <c r="N79" s="6">
        <f>'PY-1'!N19</f>
        <v>57849</v>
      </c>
      <c r="O79" s="6">
        <f t="shared" si="9"/>
        <v>553013</v>
      </c>
      <c r="P79" s="6">
        <f t="shared" si="10"/>
        <v>344145</v>
      </c>
      <c r="Q79" t="str">
        <f t="shared" si="8"/>
        <v>PY-1</v>
      </c>
    </row>
    <row r="80" spans="1:17" x14ac:dyDescent="0.35">
      <c r="A80" t="str">
        <f>'PY-1'!A20</f>
        <v>Greenfield High School</v>
      </c>
      <c r="B80" t="str">
        <f>'PY-1'!B20</f>
        <v>Learnerships</v>
      </c>
      <c r="C80" s="6">
        <f>'PY-1'!C20</f>
        <v>75305</v>
      </c>
      <c r="D80" s="6">
        <f>'PY-1'!D20</f>
        <v>25901</v>
      </c>
      <c r="E80" s="6">
        <f>'PY-1'!E20</f>
        <v>37148</v>
      </c>
      <c r="F80" s="6">
        <f>'PY-1'!F20</f>
        <v>44242</v>
      </c>
      <c r="G80" s="6">
        <f>'PY-1'!G20</f>
        <v>31913</v>
      </c>
      <c r="H80" s="6">
        <f>'PY-1'!H20</f>
        <v>58046</v>
      </c>
      <c r="I80" s="6">
        <f>'PY-1'!I20</f>
        <v>58505</v>
      </c>
      <c r="J80" s="6">
        <f>'PY-1'!J20</f>
        <v>67684</v>
      </c>
      <c r="K80" s="6">
        <f>'PY-1'!K20</f>
        <v>95203</v>
      </c>
      <c r="L80" s="6">
        <f>'PY-1'!L20</f>
        <v>55269</v>
      </c>
      <c r="M80" s="6">
        <f>'PY-1'!M20</f>
        <v>44741</v>
      </c>
      <c r="N80" s="6">
        <f>'PY-1'!N20</f>
        <v>56562</v>
      </c>
      <c r="O80" s="6">
        <f t="shared" si="9"/>
        <v>650519</v>
      </c>
      <c r="P80" s="6">
        <f t="shared" si="10"/>
        <v>398744</v>
      </c>
      <c r="Q80" t="str">
        <f t="shared" si="8"/>
        <v>PY-1</v>
      </c>
    </row>
    <row r="81" spans="1:17" x14ac:dyDescent="0.35">
      <c r="A81" t="str">
        <f>'PY-1'!A21</f>
        <v>ABC Manufacturing</v>
      </c>
      <c r="B81" t="str">
        <f>'PY-1'!B21</f>
        <v xml:space="preserve">Compliance Training </v>
      </c>
      <c r="C81" s="6">
        <f>'PY-1'!C21</f>
        <v>94912</v>
      </c>
      <c r="D81" s="6">
        <f>'PY-1'!D21</f>
        <v>3458</v>
      </c>
      <c r="E81" s="6">
        <f>'PY-1'!E21</f>
        <v>27891</v>
      </c>
      <c r="F81" s="6">
        <f>'PY-1'!F21</f>
        <v>71596</v>
      </c>
      <c r="G81" s="6">
        <f>'PY-1'!G21</f>
        <v>98590</v>
      </c>
      <c r="H81" s="6">
        <f>'PY-1'!H21</f>
        <v>52932</v>
      </c>
      <c r="I81" s="6">
        <f>'PY-1'!I21</f>
        <v>65113</v>
      </c>
      <c r="J81" s="6">
        <f>'PY-1'!J21</f>
        <v>8283</v>
      </c>
      <c r="K81" s="6">
        <f>'PY-1'!K21</f>
        <v>84304</v>
      </c>
      <c r="L81" s="6">
        <f>'PY-1'!L21</f>
        <v>44235</v>
      </c>
      <c r="M81" s="6">
        <f>'PY-1'!M21</f>
        <v>4626</v>
      </c>
      <c r="N81" s="6">
        <f>'PY-1'!N21</f>
        <v>5224</v>
      </c>
      <c r="O81" s="6">
        <f t="shared" si="9"/>
        <v>561164</v>
      </c>
      <c r="P81" s="6">
        <f t="shared" si="10"/>
        <v>422775</v>
      </c>
      <c r="Q81" t="str">
        <f t="shared" si="8"/>
        <v>PY-1</v>
      </c>
    </row>
    <row r="82" spans="1:17" x14ac:dyDescent="0.35">
      <c r="A82" t="str">
        <f>'PY-1'!A22</f>
        <v>Tech Solutions SA</v>
      </c>
      <c r="B82" t="str">
        <f>'PY-1'!B22</f>
        <v xml:space="preserve">Compliance Training </v>
      </c>
      <c r="C82" s="6">
        <f>'PY-1'!C22</f>
        <v>10548</v>
      </c>
      <c r="D82" s="6">
        <f>'PY-1'!D22</f>
        <v>98675</v>
      </c>
      <c r="E82" s="6">
        <f>'PY-1'!E22</f>
        <v>11212</v>
      </c>
      <c r="F82" s="6">
        <f>'PY-1'!F22</f>
        <v>35871</v>
      </c>
      <c r="G82" s="6">
        <f>'PY-1'!G22</f>
        <v>9031</v>
      </c>
      <c r="H82" s="6">
        <f>'PY-1'!H22</f>
        <v>35449</v>
      </c>
      <c r="I82" s="6">
        <f>'PY-1'!I22</f>
        <v>58462</v>
      </c>
      <c r="J82" s="6">
        <f>'PY-1'!J22</f>
        <v>35353</v>
      </c>
      <c r="K82" s="6">
        <f>'PY-1'!K22</f>
        <v>51659</v>
      </c>
      <c r="L82" s="6">
        <f>'PY-1'!L22</f>
        <v>74751</v>
      </c>
      <c r="M82" s="6">
        <f>'PY-1'!M22</f>
        <v>49543</v>
      </c>
      <c r="N82" s="6">
        <f>'PY-1'!N22</f>
        <v>56369</v>
      </c>
      <c r="O82" s="6">
        <f t="shared" si="9"/>
        <v>526923</v>
      </c>
      <c r="P82" s="6">
        <f t="shared" si="10"/>
        <v>294601</v>
      </c>
      <c r="Q82" t="str">
        <f t="shared" si="8"/>
        <v>PY-1</v>
      </c>
    </row>
    <row r="83" spans="1:17" x14ac:dyDescent="0.35">
      <c r="A83" t="str">
        <f>'PY-1'!A23</f>
        <v>Greenfield High School</v>
      </c>
      <c r="B83" t="str">
        <f>'PY-1'!B23</f>
        <v xml:space="preserve">Compliance Training </v>
      </c>
      <c r="C83" s="6">
        <f>'PY-1'!C23</f>
        <v>42901</v>
      </c>
      <c r="D83" s="6">
        <f>'PY-1'!D23</f>
        <v>86435</v>
      </c>
      <c r="E83" s="6">
        <f>'PY-1'!E23</f>
        <v>45563</v>
      </c>
      <c r="F83" s="6">
        <f>'PY-1'!F23</f>
        <v>13008</v>
      </c>
      <c r="G83" s="6">
        <f>'PY-1'!G23</f>
        <v>81542</v>
      </c>
      <c r="H83" s="6">
        <f>'PY-1'!H23</f>
        <v>13849</v>
      </c>
      <c r="I83" s="6">
        <f>'PY-1'!I23</f>
        <v>57636</v>
      </c>
      <c r="J83" s="6">
        <f>'PY-1'!J23</f>
        <v>88787</v>
      </c>
      <c r="K83" s="6">
        <f>'PY-1'!K23</f>
        <v>32657</v>
      </c>
      <c r="L83" s="6">
        <f>'PY-1'!L23</f>
        <v>42028</v>
      </c>
      <c r="M83" s="6">
        <f>'PY-1'!M23</f>
        <v>47391</v>
      </c>
      <c r="N83" s="6">
        <f>'PY-1'!N23</f>
        <v>72811</v>
      </c>
      <c r="O83" s="6">
        <f t="shared" si="9"/>
        <v>624608</v>
      </c>
      <c r="P83" s="6">
        <f t="shared" si="10"/>
        <v>429721</v>
      </c>
      <c r="Q83" t="str">
        <f t="shared" si="8"/>
        <v>PY-1</v>
      </c>
    </row>
    <row r="84" spans="1:17" x14ac:dyDescent="0.35">
      <c r="A84" t="str">
        <f>'PY-1'!A24</f>
        <v>Speccon</v>
      </c>
      <c r="B84" t="str">
        <f>'PY-1'!B24</f>
        <v>TAP Business</v>
      </c>
      <c r="C84" s="6">
        <f>'PY-1'!C24</f>
        <v>9450</v>
      </c>
      <c r="D84" s="6">
        <f>'PY-1'!D24</f>
        <v>59454</v>
      </c>
      <c r="E84" s="6">
        <f>'PY-1'!E24</f>
        <v>54845</v>
      </c>
      <c r="F84" s="6">
        <f>'PY-1'!F24</f>
        <v>73820</v>
      </c>
      <c r="G84" s="6">
        <f>'PY-1'!G24</f>
        <v>89599</v>
      </c>
      <c r="H84" s="6">
        <f>'PY-1'!H24</f>
        <v>36020</v>
      </c>
      <c r="I84" s="6">
        <f>'PY-1'!I24</f>
        <v>89974</v>
      </c>
      <c r="J84" s="6">
        <f>'PY-1'!J24</f>
        <v>26181</v>
      </c>
      <c r="K84" s="6">
        <f>'PY-1'!K24</f>
        <v>95649</v>
      </c>
      <c r="L84" s="6">
        <f>'PY-1'!L24</f>
        <v>52412</v>
      </c>
      <c r="M84" s="6">
        <f>'PY-1'!M24</f>
        <v>98624</v>
      </c>
      <c r="N84" s="6">
        <f>'PY-1'!N24</f>
        <v>31152</v>
      </c>
      <c r="O84" s="6">
        <f t="shared" si="9"/>
        <v>717180</v>
      </c>
      <c r="P84" s="6">
        <f t="shared" si="10"/>
        <v>439343</v>
      </c>
      <c r="Q84" t="str">
        <f t="shared" si="8"/>
        <v>PY-1</v>
      </c>
    </row>
    <row r="85" spans="1:17" x14ac:dyDescent="0.35">
      <c r="A85" t="str">
        <f>'PY-1'!A25</f>
        <v>AVI</v>
      </c>
      <c r="B85" t="str">
        <f>'PY-1'!B25</f>
        <v>Other Courses</v>
      </c>
      <c r="C85" s="6">
        <f>'PY-1'!C25</f>
        <v>63322</v>
      </c>
      <c r="D85" s="6">
        <f>'PY-1'!D25</f>
        <v>13448</v>
      </c>
      <c r="E85" s="6">
        <f>'PY-1'!E25</f>
        <v>33946</v>
      </c>
      <c r="F85" s="6">
        <f>'PY-1'!F25</f>
        <v>12356</v>
      </c>
      <c r="G85" s="6">
        <f>'PY-1'!G25</f>
        <v>58189</v>
      </c>
      <c r="H85" s="6">
        <f>'PY-1'!H25</f>
        <v>88468</v>
      </c>
      <c r="I85" s="6">
        <f>'PY-1'!I25</f>
        <v>29765</v>
      </c>
      <c r="J85" s="6">
        <f>'PY-1'!J25</f>
        <v>26505</v>
      </c>
      <c r="K85" s="6">
        <f>'PY-1'!K25</f>
        <v>97550</v>
      </c>
      <c r="L85" s="6">
        <f>'PY-1'!L25</f>
        <v>46965</v>
      </c>
      <c r="M85" s="6">
        <f>'PY-1'!M25</f>
        <v>24391</v>
      </c>
      <c r="N85" s="6">
        <f>'PY-1'!N25</f>
        <v>28630</v>
      </c>
      <c r="O85" s="6">
        <f t="shared" si="9"/>
        <v>523535</v>
      </c>
      <c r="P85" s="6">
        <f t="shared" si="10"/>
        <v>325999</v>
      </c>
      <c r="Q85" t="str">
        <f t="shared" si="8"/>
        <v>PY-1</v>
      </c>
    </row>
    <row r="86" spans="1:17" x14ac:dyDescent="0.35">
      <c r="A86" t="str">
        <f>'PY-1'!A26</f>
        <v>Tech Solutions SA</v>
      </c>
      <c r="B86" t="str">
        <f>'PY-1'!B26</f>
        <v>TAP Business</v>
      </c>
      <c r="C86" s="6">
        <f>'PY-1'!C26</f>
        <v>91091</v>
      </c>
      <c r="D86" s="6">
        <f>'PY-1'!D26</f>
        <v>99838</v>
      </c>
      <c r="E86" s="6">
        <f>'PY-1'!E26</f>
        <v>34346</v>
      </c>
      <c r="F86" s="6">
        <f>'PY-1'!F26</f>
        <v>19515</v>
      </c>
      <c r="G86" s="6">
        <f>'PY-1'!G26</f>
        <v>97606</v>
      </c>
      <c r="H86" s="6">
        <f>'PY-1'!H26</f>
        <v>82657</v>
      </c>
      <c r="I86" s="6">
        <f>'PY-1'!I26</f>
        <v>96376</v>
      </c>
      <c r="J86" s="6">
        <f>'PY-1'!J26</f>
        <v>74631</v>
      </c>
      <c r="K86" s="6">
        <f>'PY-1'!K26</f>
        <v>54069</v>
      </c>
      <c r="L86" s="6">
        <f>'PY-1'!L26</f>
        <v>30991</v>
      </c>
      <c r="M86" s="6">
        <f>'PY-1'!M26</f>
        <v>62502</v>
      </c>
      <c r="N86" s="6">
        <f>'PY-1'!N26</f>
        <v>94446</v>
      </c>
      <c r="O86" s="6">
        <f t="shared" si="9"/>
        <v>838068</v>
      </c>
      <c r="P86" s="6">
        <f t="shared" si="10"/>
        <v>596060</v>
      </c>
      <c r="Q86" t="str">
        <f t="shared" si="8"/>
        <v>PY-1</v>
      </c>
    </row>
    <row r="87" spans="1:17" x14ac:dyDescent="0.35">
      <c r="A87" t="str">
        <f>'PY-1'!A27</f>
        <v>AVI</v>
      </c>
      <c r="B87" t="str">
        <f>'PY-1'!B27</f>
        <v>TAP Business</v>
      </c>
      <c r="C87" s="6">
        <f>'PY-1'!C27</f>
        <v>82570</v>
      </c>
      <c r="D87" s="6">
        <f>'PY-1'!D27</f>
        <v>14786</v>
      </c>
      <c r="E87" s="6">
        <f>'PY-1'!E27</f>
        <v>10089</v>
      </c>
      <c r="F87" s="6">
        <f>'PY-1'!F27</f>
        <v>15911</v>
      </c>
      <c r="G87" s="6">
        <f>'PY-1'!G27</f>
        <v>19198</v>
      </c>
      <c r="H87" s="6">
        <f>'PY-1'!H27</f>
        <v>90447</v>
      </c>
      <c r="I87" s="6">
        <f>'PY-1'!I27</f>
        <v>53488</v>
      </c>
      <c r="J87" s="6">
        <f>'PY-1'!J27</f>
        <v>99695</v>
      </c>
      <c r="K87" s="6">
        <f>'PY-1'!K27</f>
        <v>27314</v>
      </c>
      <c r="L87" s="6">
        <f>'PY-1'!L27</f>
        <v>2403</v>
      </c>
      <c r="M87" s="6">
        <f>'PY-1'!M27</f>
        <v>17670</v>
      </c>
      <c r="N87" s="6">
        <f>'PY-1'!N27</f>
        <v>33926</v>
      </c>
      <c r="O87" s="6">
        <f t="shared" si="9"/>
        <v>467497</v>
      </c>
      <c r="P87" s="6">
        <f t="shared" si="10"/>
        <v>386184</v>
      </c>
      <c r="Q87" t="str">
        <f t="shared" si="8"/>
        <v>PY-1</v>
      </c>
    </row>
    <row r="88" spans="1:17" x14ac:dyDescent="0.35">
      <c r="A88" t="str">
        <f>Budget!A2</f>
        <v>Premier Academy</v>
      </c>
      <c r="B88" t="str">
        <f>Budget!B2</f>
        <v>TAP Business</v>
      </c>
      <c r="C88" s="6">
        <f>Budget!C2</f>
        <v>95335</v>
      </c>
      <c r="D88" s="6">
        <f>Budget!D2</f>
        <v>59275</v>
      </c>
      <c r="E88" s="6">
        <f>Budget!E2</f>
        <v>63754</v>
      </c>
      <c r="F88" s="6">
        <f>Budget!F2</f>
        <v>14098</v>
      </c>
      <c r="G88" s="6">
        <f>Budget!G2</f>
        <v>18390</v>
      </c>
      <c r="H88" s="6">
        <f>Budget!H2</f>
        <v>108393</v>
      </c>
      <c r="I88" s="6">
        <f>Budget!I2</f>
        <v>7985</v>
      </c>
      <c r="J88" s="6">
        <f>Budget!J2</f>
        <v>19140</v>
      </c>
      <c r="K88" s="6">
        <f>Budget!K2</f>
        <v>31109</v>
      </c>
      <c r="L88" s="6">
        <f>Budget!L2</f>
        <v>76715</v>
      </c>
      <c r="M88" s="6">
        <f>Budget!M2</f>
        <v>94535</v>
      </c>
      <c r="N88" s="6">
        <f>Budget!N2</f>
        <v>96289</v>
      </c>
      <c r="O88" s="6">
        <f t="shared" si="9"/>
        <v>685018</v>
      </c>
      <c r="P88" s="6">
        <f t="shared" si="10"/>
        <v>386370</v>
      </c>
      <c r="Q88" t="s">
        <v>107</v>
      </c>
    </row>
    <row r="89" spans="1:17" x14ac:dyDescent="0.35">
      <c r="A89" t="str">
        <f>Budget!A3</f>
        <v>Metro Logistics</v>
      </c>
      <c r="B89" t="str">
        <f>Budget!B3</f>
        <v>Other Courses</v>
      </c>
      <c r="C89" s="6">
        <f>Budget!C3</f>
        <v>95396</v>
      </c>
      <c r="D89" s="6">
        <f>Budget!D3</f>
        <v>20930</v>
      </c>
      <c r="E89" s="6">
        <f>Budget!E3</f>
        <v>9856</v>
      </c>
      <c r="F89" s="6">
        <f>Budget!F3</f>
        <v>78047</v>
      </c>
      <c r="G89" s="6">
        <f>Budget!G3</f>
        <v>106074</v>
      </c>
      <c r="H89" s="6">
        <f>Budget!H3</f>
        <v>81896</v>
      </c>
      <c r="I89" s="6">
        <f>Budget!I3</f>
        <v>14533</v>
      </c>
      <c r="J89" s="6">
        <f>Budget!J3</f>
        <v>87693</v>
      </c>
      <c r="K89" s="6">
        <f>Budget!K3</f>
        <v>23714</v>
      </c>
      <c r="L89" s="6">
        <f>Budget!L3</f>
        <v>11362</v>
      </c>
      <c r="M89" s="6">
        <f>Budget!M3</f>
        <v>42869</v>
      </c>
      <c r="N89" s="6">
        <f>Budget!N3</f>
        <v>24453</v>
      </c>
      <c r="O89" s="6">
        <f t="shared" si="9"/>
        <v>596823</v>
      </c>
      <c r="P89" s="6">
        <f t="shared" si="10"/>
        <v>494425</v>
      </c>
      <c r="Q89" t="str">
        <f t="shared" ref="Q89:Q110" si="11">Q88</f>
        <v>Budget</v>
      </c>
    </row>
    <row r="90" spans="1:17" x14ac:dyDescent="0.35">
      <c r="A90" t="str">
        <f>Budget!A4</f>
        <v>INVESTEC</v>
      </c>
      <c r="B90" t="str">
        <f>Budget!B4</f>
        <v>Other Courses</v>
      </c>
      <c r="C90" s="6">
        <f>Budget!C4</f>
        <v>26146</v>
      </c>
      <c r="D90" s="6">
        <f>Budget!D4</f>
        <v>12945</v>
      </c>
      <c r="E90" s="6">
        <f>Budget!E4</f>
        <v>101900</v>
      </c>
      <c r="F90" s="6">
        <f>Budget!F4</f>
        <v>107245</v>
      </c>
      <c r="G90" s="6">
        <f>Budget!G4</f>
        <v>68951</v>
      </c>
      <c r="H90" s="6">
        <f>Budget!H4</f>
        <v>1221</v>
      </c>
      <c r="I90" s="6">
        <f>Budget!I4</f>
        <v>44704</v>
      </c>
      <c r="J90" s="6">
        <f>Budget!J4</f>
        <v>8253</v>
      </c>
      <c r="K90" s="6">
        <f>Budget!K4</f>
        <v>34444</v>
      </c>
      <c r="L90" s="6">
        <f>Budget!L4</f>
        <v>1531</v>
      </c>
      <c r="M90" s="6">
        <f>Budget!M4</f>
        <v>17496</v>
      </c>
      <c r="N90" s="6">
        <f>Budget!N4</f>
        <v>81338</v>
      </c>
      <c r="O90" s="6">
        <f t="shared" si="9"/>
        <v>506174</v>
      </c>
      <c r="P90" s="6">
        <f t="shared" si="10"/>
        <v>371365</v>
      </c>
      <c r="Q90" t="str">
        <f t="shared" si="11"/>
        <v>Budget</v>
      </c>
    </row>
    <row r="91" spans="1:17" x14ac:dyDescent="0.35">
      <c r="A91" t="str">
        <f>Budget!A5</f>
        <v>STND BANK</v>
      </c>
      <c r="B91" t="str">
        <f>Budget!B5</f>
        <v>Other Courses</v>
      </c>
      <c r="C91" s="6">
        <f>Budget!C5</f>
        <v>80188</v>
      </c>
      <c r="D91" s="6">
        <f>Budget!D5</f>
        <v>75123</v>
      </c>
      <c r="E91" s="6">
        <f>Budget!E5</f>
        <v>107225</v>
      </c>
      <c r="F91" s="6">
        <f>Budget!F5</f>
        <v>14727</v>
      </c>
      <c r="G91" s="6">
        <f>Budget!G5</f>
        <v>23936</v>
      </c>
      <c r="H91" s="6">
        <f>Budget!H5</f>
        <v>13361</v>
      </c>
      <c r="I91" s="6">
        <f>Budget!I5</f>
        <v>20875</v>
      </c>
      <c r="J91" s="6">
        <f>Budget!J5</f>
        <v>93944</v>
      </c>
      <c r="K91" s="6">
        <f>Budget!K5</f>
        <v>55759</v>
      </c>
      <c r="L91" s="6">
        <f>Budget!L5</f>
        <v>77022</v>
      </c>
      <c r="M91" s="6">
        <f>Budget!M5</f>
        <v>14416</v>
      </c>
      <c r="N91" s="6">
        <f>Budget!N5</f>
        <v>85281</v>
      </c>
      <c r="O91" s="6">
        <f t="shared" si="9"/>
        <v>661857</v>
      </c>
      <c r="P91" s="6">
        <f t="shared" si="10"/>
        <v>429379</v>
      </c>
      <c r="Q91" t="str">
        <f t="shared" si="11"/>
        <v>Budget</v>
      </c>
    </row>
    <row r="92" spans="1:17" x14ac:dyDescent="0.35">
      <c r="A92" t="str">
        <f>Budget!A6</f>
        <v>Greenfield High School</v>
      </c>
      <c r="B92" t="str">
        <f>Budget!B6</f>
        <v>TAP Business</v>
      </c>
      <c r="C92" s="6">
        <f>Budget!C6</f>
        <v>101773</v>
      </c>
      <c r="D92" s="6">
        <f>Budget!D6</f>
        <v>98771</v>
      </c>
      <c r="E92" s="6">
        <f>Budget!E6</f>
        <v>953</v>
      </c>
      <c r="F92" s="6">
        <f>Budget!F6</f>
        <v>36927</v>
      </c>
      <c r="G92" s="6">
        <f>Budget!G6</f>
        <v>95425</v>
      </c>
      <c r="H92" s="6">
        <f>Budget!H6</f>
        <v>32489</v>
      </c>
      <c r="I92" s="6">
        <f>Budget!I6</f>
        <v>10175</v>
      </c>
      <c r="J92" s="6">
        <f>Budget!J6</f>
        <v>44378</v>
      </c>
      <c r="K92" s="6">
        <f>Budget!K6</f>
        <v>96489</v>
      </c>
      <c r="L92" s="6">
        <f>Budget!L6</f>
        <v>21733</v>
      </c>
      <c r="M92" s="6">
        <f>Budget!M6</f>
        <v>108363</v>
      </c>
      <c r="N92" s="6">
        <f>Budget!N6</f>
        <v>31281</v>
      </c>
      <c r="O92" s="6">
        <f t="shared" si="9"/>
        <v>678757</v>
      </c>
      <c r="P92" s="6">
        <f t="shared" si="10"/>
        <v>420891</v>
      </c>
      <c r="Q92" t="str">
        <f t="shared" si="11"/>
        <v>Budget</v>
      </c>
    </row>
    <row r="93" spans="1:17" x14ac:dyDescent="0.35">
      <c r="A93" t="str">
        <f>Budget!A7</f>
        <v>Premier Academy</v>
      </c>
      <c r="B93" t="str">
        <f>Budget!B7</f>
        <v xml:space="preserve">Compliance Training </v>
      </c>
      <c r="C93" s="6">
        <f>Budget!C7</f>
        <v>10600</v>
      </c>
      <c r="D93" s="6">
        <f>Budget!D7</f>
        <v>22290</v>
      </c>
      <c r="E93" s="6">
        <f>Budget!E7</f>
        <v>77574</v>
      </c>
      <c r="F93" s="6">
        <f>Budget!F7</f>
        <v>13127</v>
      </c>
      <c r="G93" s="6">
        <f>Budget!G7</f>
        <v>48337</v>
      </c>
      <c r="H93" s="6">
        <f>Budget!H7</f>
        <v>53851</v>
      </c>
      <c r="I93" s="6">
        <f>Budget!I7</f>
        <v>24176</v>
      </c>
      <c r="J93" s="6">
        <f>Budget!J7</f>
        <v>60474</v>
      </c>
      <c r="K93" s="6">
        <f>Budget!K7</f>
        <v>40229</v>
      </c>
      <c r="L93" s="6">
        <f>Budget!L7</f>
        <v>104092</v>
      </c>
      <c r="M93" s="6">
        <f>Budget!M7</f>
        <v>12170</v>
      </c>
      <c r="N93" s="6">
        <f>Budget!N7</f>
        <v>36185</v>
      </c>
      <c r="O93" s="6">
        <f t="shared" si="9"/>
        <v>503105</v>
      </c>
      <c r="P93" s="6">
        <f t="shared" si="10"/>
        <v>310429</v>
      </c>
      <c r="Q93" t="str">
        <f t="shared" si="11"/>
        <v>Budget</v>
      </c>
    </row>
    <row r="94" spans="1:17" x14ac:dyDescent="0.35">
      <c r="A94" t="str">
        <f>Budget!A8</f>
        <v>ABC Manufacturing</v>
      </c>
      <c r="B94" t="str">
        <f>Budget!B8</f>
        <v xml:space="preserve">Compliance Training </v>
      </c>
      <c r="C94" s="6">
        <f>Budget!C8</f>
        <v>29778</v>
      </c>
      <c r="D94" s="6">
        <f>Budget!D8</f>
        <v>29874</v>
      </c>
      <c r="E94" s="6">
        <f>Budget!E8</f>
        <v>89416</v>
      </c>
      <c r="F94" s="6">
        <f>Budget!F8</f>
        <v>57829</v>
      </c>
      <c r="G94" s="6">
        <f>Budget!G8</f>
        <v>40361</v>
      </c>
      <c r="H94" s="6">
        <f>Budget!H8</f>
        <v>70550</v>
      </c>
      <c r="I94" s="6">
        <f>Budget!I8</f>
        <v>17227</v>
      </c>
      <c r="J94" s="6">
        <f>Budget!J8</f>
        <v>84412</v>
      </c>
      <c r="K94" s="6">
        <f>Budget!K8</f>
        <v>79602</v>
      </c>
      <c r="L94" s="6">
        <f>Budget!L8</f>
        <v>93733</v>
      </c>
      <c r="M94" s="6">
        <f>Budget!M8</f>
        <v>69058</v>
      </c>
      <c r="N94" s="6">
        <f>Budget!N8</f>
        <v>44171</v>
      </c>
      <c r="O94" s="6">
        <f t="shared" si="9"/>
        <v>706011</v>
      </c>
      <c r="P94" s="6">
        <f t="shared" si="10"/>
        <v>419447</v>
      </c>
      <c r="Q94" t="str">
        <f t="shared" si="11"/>
        <v>Budget</v>
      </c>
    </row>
    <row r="95" spans="1:17" x14ac:dyDescent="0.35">
      <c r="A95" t="str">
        <f>Budget!A9</f>
        <v>ABC Manufacturing</v>
      </c>
      <c r="B95" t="str">
        <f>Budget!B9</f>
        <v>Other Courses</v>
      </c>
      <c r="C95" s="6">
        <f>Budget!C9</f>
        <v>48069</v>
      </c>
      <c r="D95" s="6">
        <f>Budget!D9</f>
        <v>24481</v>
      </c>
      <c r="E95" s="6">
        <f>Budget!E9</f>
        <v>40693</v>
      </c>
      <c r="F95" s="6">
        <f>Budget!F9</f>
        <v>48232</v>
      </c>
      <c r="G95" s="6">
        <f>Budget!G9</f>
        <v>38254</v>
      </c>
      <c r="H95" s="6">
        <f>Budget!H9</f>
        <v>54757</v>
      </c>
      <c r="I95" s="6">
        <f>Budget!I9</f>
        <v>69387</v>
      </c>
      <c r="J95" s="6">
        <f>Budget!J9</f>
        <v>85160</v>
      </c>
      <c r="K95" s="6">
        <f>Budget!K9</f>
        <v>27677</v>
      </c>
      <c r="L95" s="6">
        <f>Budget!L9</f>
        <v>99924</v>
      </c>
      <c r="M95" s="6">
        <f>Budget!M9</f>
        <v>40890</v>
      </c>
      <c r="N95" s="6">
        <f>Budget!N9</f>
        <v>92556</v>
      </c>
      <c r="O95" s="6">
        <f t="shared" si="9"/>
        <v>670080</v>
      </c>
      <c r="P95" s="6">
        <f t="shared" si="10"/>
        <v>409033</v>
      </c>
      <c r="Q95" t="str">
        <f t="shared" si="11"/>
        <v>Budget</v>
      </c>
    </row>
    <row r="96" spans="1:17" x14ac:dyDescent="0.35">
      <c r="A96" t="str">
        <f>Budget!A10</f>
        <v>AVI</v>
      </c>
      <c r="B96" t="str">
        <f>Budget!B10</f>
        <v>Other Courses</v>
      </c>
      <c r="C96" s="6">
        <f>Budget!C10</f>
        <v>66630</v>
      </c>
      <c r="D96" s="6">
        <f>Budget!D10</f>
        <v>53772</v>
      </c>
      <c r="E96" s="6">
        <f>Budget!E10</f>
        <v>4359</v>
      </c>
      <c r="F96" s="6">
        <f>Budget!F10</f>
        <v>72134</v>
      </c>
      <c r="G96" s="6">
        <f>Budget!G10</f>
        <v>8688</v>
      </c>
      <c r="H96" s="6">
        <f>Budget!H10</f>
        <v>44053</v>
      </c>
      <c r="I96" s="6">
        <f>Budget!I10</f>
        <v>59201</v>
      </c>
      <c r="J96" s="6">
        <f>Budget!J10</f>
        <v>63311</v>
      </c>
      <c r="K96" s="6">
        <f>Budget!K10</f>
        <v>102400</v>
      </c>
      <c r="L96" s="6">
        <f>Budget!L10</f>
        <v>84317</v>
      </c>
      <c r="M96" s="6">
        <f>Budget!M10</f>
        <v>79501</v>
      </c>
      <c r="N96" s="6">
        <f>Budget!N10</f>
        <v>87596</v>
      </c>
      <c r="O96" s="6">
        <f t="shared" si="9"/>
        <v>725962</v>
      </c>
      <c r="P96" s="6">
        <f t="shared" si="10"/>
        <v>372148</v>
      </c>
      <c r="Q96" t="str">
        <f t="shared" si="11"/>
        <v>Budget</v>
      </c>
    </row>
    <row r="97" spans="1:17" x14ac:dyDescent="0.35">
      <c r="A97" t="str">
        <f>Budget!A11</f>
        <v>FNB</v>
      </c>
      <c r="B97" t="str">
        <f>Budget!B11</f>
        <v xml:space="preserve">Compliance Training </v>
      </c>
      <c r="C97" s="6">
        <f>Budget!C11</f>
        <v>76075</v>
      </c>
      <c r="D97" s="6">
        <f>Budget!D11</f>
        <v>63698</v>
      </c>
      <c r="E97" s="6">
        <f>Budget!E11</f>
        <v>43388</v>
      </c>
      <c r="F97" s="6">
        <f>Budget!F11</f>
        <v>100371</v>
      </c>
      <c r="G97" s="6">
        <f>Budget!G11</f>
        <v>6241</v>
      </c>
      <c r="H97" s="6">
        <f>Budget!H11</f>
        <v>11989</v>
      </c>
      <c r="I97" s="6">
        <f>Budget!I11</f>
        <v>92579</v>
      </c>
      <c r="J97" s="6">
        <f>Budget!J11</f>
        <v>29502</v>
      </c>
      <c r="K97" s="6">
        <f>Budget!K11</f>
        <v>55823</v>
      </c>
      <c r="L97" s="6">
        <f>Budget!L11</f>
        <v>828</v>
      </c>
      <c r="M97" s="6">
        <f>Budget!M11</f>
        <v>24296</v>
      </c>
      <c r="N97" s="6">
        <f>Budget!N11</f>
        <v>81802</v>
      </c>
      <c r="O97" s="6">
        <f t="shared" si="9"/>
        <v>586592</v>
      </c>
      <c r="P97" s="6">
        <f t="shared" si="10"/>
        <v>423843</v>
      </c>
      <c r="Q97" t="str">
        <f t="shared" si="11"/>
        <v>Budget</v>
      </c>
    </row>
    <row r="98" spans="1:17" x14ac:dyDescent="0.35">
      <c r="A98" t="str">
        <f>Budget!A12</f>
        <v>STND BANK</v>
      </c>
      <c r="B98" t="str">
        <f>Budget!B12</f>
        <v>TAP Business</v>
      </c>
      <c r="C98" s="6">
        <f>Budget!C12</f>
        <v>108637</v>
      </c>
      <c r="D98" s="6">
        <f>Budget!D12</f>
        <v>19549</v>
      </c>
      <c r="E98" s="6">
        <f>Budget!E12</f>
        <v>72415</v>
      </c>
      <c r="F98" s="6">
        <f>Budget!F12</f>
        <v>75473</v>
      </c>
      <c r="G98" s="6">
        <f>Budget!G12</f>
        <v>39613</v>
      </c>
      <c r="H98" s="6">
        <f>Budget!H12</f>
        <v>17974</v>
      </c>
      <c r="I98" s="6">
        <f>Budget!I12</f>
        <v>107731</v>
      </c>
      <c r="J98" s="6">
        <f>Budget!J12</f>
        <v>13574</v>
      </c>
      <c r="K98" s="6">
        <f>Budget!K12</f>
        <v>29102</v>
      </c>
      <c r="L98" s="6">
        <f>Budget!L12</f>
        <v>54981</v>
      </c>
      <c r="M98" s="6">
        <f>Budget!M12</f>
        <v>107830</v>
      </c>
      <c r="N98" s="6">
        <f>Budget!N12</f>
        <v>63026</v>
      </c>
      <c r="O98" s="6">
        <f t="shared" si="9"/>
        <v>709905</v>
      </c>
      <c r="P98" s="6">
        <f t="shared" si="10"/>
        <v>454966</v>
      </c>
      <c r="Q98" t="str">
        <f t="shared" si="11"/>
        <v>Budget</v>
      </c>
    </row>
    <row r="99" spans="1:17" x14ac:dyDescent="0.35">
      <c r="A99" t="str">
        <f>Budget!A13</f>
        <v>AVI</v>
      </c>
      <c r="B99" t="str">
        <f>Budget!B13</f>
        <v>Learnerships</v>
      </c>
      <c r="C99" s="6">
        <f>Budget!C13</f>
        <v>105761</v>
      </c>
      <c r="D99" s="6">
        <f>Budget!D13</f>
        <v>61808</v>
      </c>
      <c r="E99" s="6">
        <f>Budget!E13</f>
        <v>105807</v>
      </c>
      <c r="F99" s="6">
        <f>Budget!F13</f>
        <v>109635</v>
      </c>
      <c r="G99" s="6">
        <f>Budget!G13</f>
        <v>67551</v>
      </c>
      <c r="H99" s="6">
        <f>Budget!H13</f>
        <v>30637</v>
      </c>
      <c r="I99" s="6">
        <f>Budget!I13</f>
        <v>104962</v>
      </c>
      <c r="J99" s="6">
        <f>Budget!J13</f>
        <v>40136</v>
      </c>
      <c r="K99" s="6">
        <f>Budget!K13</f>
        <v>40993</v>
      </c>
      <c r="L99" s="6">
        <f>Budget!L13</f>
        <v>66822</v>
      </c>
      <c r="M99" s="6">
        <f>Budget!M13</f>
        <v>52878</v>
      </c>
      <c r="N99" s="6">
        <f>Budget!N13</f>
        <v>77866</v>
      </c>
      <c r="O99" s="6">
        <f t="shared" si="9"/>
        <v>864856</v>
      </c>
      <c r="P99" s="6">
        <f t="shared" si="10"/>
        <v>626297</v>
      </c>
      <c r="Q99" t="str">
        <f t="shared" si="11"/>
        <v>Budget</v>
      </c>
    </row>
    <row r="100" spans="1:17" x14ac:dyDescent="0.35">
      <c r="A100" t="str">
        <f>Budget!A14</f>
        <v>Greenfield High School</v>
      </c>
      <c r="B100" t="str">
        <f>Budget!B14</f>
        <v xml:space="preserve">Compliance Training </v>
      </c>
      <c r="C100" s="6">
        <f>Budget!C14</f>
        <v>101399</v>
      </c>
      <c r="D100" s="6">
        <f>Budget!D14</f>
        <v>56913</v>
      </c>
      <c r="E100" s="6">
        <f>Budget!E14</f>
        <v>81445</v>
      </c>
      <c r="F100" s="6">
        <f>Budget!F14</f>
        <v>19666</v>
      </c>
      <c r="G100" s="6">
        <f>Budget!G14</f>
        <v>29431</v>
      </c>
      <c r="H100" s="6">
        <f>Budget!H14</f>
        <v>109383</v>
      </c>
      <c r="I100" s="6">
        <f>Budget!I14</f>
        <v>37530</v>
      </c>
      <c r="J100" s="6">
        <f>Budget!J14</f>
        <v>78069</v>
      </c>
      <c r="K100" s="6">
        <f>Budget!K14</f>
        <v>57550</v>
      </c>
      <c r="L100" s="6">
        <f>Budget!L14</f>
        <v>76076</v>
      </c>
      <c r="M100" s="6">
        <f>Budget!M14</f>
        <v>64270</v>
      </c>
      <c r="N100" s="6">
        <f>Budget!N14</f>
        <v>52010</v>
      </c>
      <c r="O100" s="6">
        <f t="shared" si="9"/>
        <v>763742</v>
      </c>
      <c r="P100" s="6">
        <f t="shared" si="10"/>
        <v>513836</v>
      </c>
      <c r="Q100" t="str">
        <f t="shared" si="11"/>
        <v>Budget</v>
      </c>
    </row>
    <row r="101" spans="1:17" x14ac:dyDescent="0.35">
      <c r="A101" t="str">
        <f>Budget!A15</f>
        <v>Speccon</v>
      </c>
      <c r="B101" t="str">
        <f>Budget!B15</f>
        <v>TAP Business</v>
      </c>
      <c r="C101" s="6">
        <f>Budget!C15</f>
        <v>23711</v>
      </c>
      <c r="D101" s="6">
        <f>Budget!D15</f>
        <v>2904</v>
      </c>
      <c r="E101" s="6">
        <f>Budget!E15</f>
        <v>65133</v>
      </c>
      <c r="F101" s="6">
        <f>Budget!F15</f>
        <v>6280</v>
      </c>
      <c r="G101" s="6">
        <f>Budget!G15</f>
        <v>67439</v>
      </c>
      <c r="H101" s="6">
        <f>Budget!H15</f>
        <v>76487</v>
      </c>
      <c r="I101" s="6">
        <f>Budget!I15</f>
        <v>69174</v>
      </c>
      <c r="J101" s="6">
        <f>Budget!J15</f>
        <v>57486</v>
      </c>
      <c r="K101" s="6">
        <f>Budget!K15</f>
        <v>22333</v>
      </c>
      <c r="L101" s="6">
        <f>Budget!L15</f>
        <v>66880</v>
      </c>
      <c r="M101" s="6">
        <f>Budget!M15</f>
        <v>286</v>
      </c>
      <c r="N101" s="6">
        <f>Budget!N15</f>
        <v>93921</v>
      </c>
      <c r="O101" s="6">
        <f t="shared" si="9"/>
        <v>552034</v>
      </c>
      <c r="P101" s="6">
        <f t="shared" si="10"/>
        <v>368614</v>
      </c>
      <c r="Q101" t="str">
        <f t="shared" si="11"/>
        <v>Budget</v>
      </c>
    </row>
    <row r="102" spans="1:17" x14ac:dyDescent="0.35">
      <c r="A102" t="str">
        <f>Budget!A16</f>
        <v>INVESTEC</v>
      </c>
      <c r="B102" t="str">
        <f>Budget!B16</f>
        <v>TAP Business</v>
      </c>
      <c r="C102" s="6">
        <f>Budget!C16</f>
        <v>17413</v>
      </c>
      <c r="D102" s="6">
        <f>Budget!D16</f>
        <v>103756</v>
      </c>
      <c r="E102" s="6">
        <f>Budget!E16</f>
        <v>100095</v>
      </c>
      <c r="F102" s="6">
        <f>Budget!F16</f>
        <v>26875</v>
      </c>
      <c r="G102" s="6">
        <f>Budget!G16</f>
        <v>54269</v>
      </c>
      <c r="H102" s="6">
        <f>Budget!H16</f>
        <v>102297</v>
      </c>
      <c r="I102" s="6">
        <f>Budget!I16</f>
        <v>80838</v>
      </c>
      <c r="J102" s="6">
        <f>Budget!J16</f>
        <v>38147</v>
      </c>
      <c r="K102" s="6">
        <f>Budget!K16</f>
        <v>4929</v>
      </c>
      <c r="L102" s="6">
        <f>Budget!L16</f>
        <v>106189</v>
      </c>
      <c r="M102" s="6">
        <f>Budget!M16</f>
        <v>77944</v>
      </c>
      <c r="N102" s="6">
        <f>Budget!N16</f>
        <v>90820</v>
      </c>
      <c r="O102" s="6">
        <f t="shared" si="9"/>
        <v>803572</v>
      </c>
      <c r="P102" s="6">
        <f t="shared" si="10"/>
        <v>523690</v>
      </c>
      <c r="Q102" t="str">
        <f t="shared" si="11"/>
        <v>Budget</v>
      </c>
    </row>
    <row r="103" spans="1:17" x14ac:dyDescent="0.35">
      <c r="A103" t="str">
        <f>Budget!A17</f>
        <v>Premier Academy</v>
      </c>
      <c r="B103" t="str">
        <f>Budget!B17</f>
        <v>Other Courses</v>
      </c>
      <c r="C103" s="6">
        <f>Budget!C17</f>
        <v>107866</v>
      </c>
      <c r="D103" s="6">
        <f>Budget!D17</f>
        <v>50349</v>
      </c>
      <c r="E103" s="6">
        <f>Budget!E17</f>
        <v>39840</v>
      </c>
      <c r="F103" s="6">
        <f>Budget!F17</f>
        <v>8875</v>
      </c>
      <c r="G103" s="6">
        <f>Budget!G17</f>
        <v>85279</v>
      </c>
      <c r="H103" s="6">
        <f>Budget!H17</f>
        <v>41139</v>
      </c>
      <c r="I103" s="6">
        <f>Budget!I17</f>
        <v>23642</v>
      </c>
      <c r="J103" s="6">
        <f>Budget!J17</f>
        <v>64065</v>
      </c>
      <c r="K103" s="6">
        <f>Budget!K17</f>
        <v>56022</v>
      </c>
      <c r="L103" s="6">
        <f>Budget!L17</f>
        <v>37393</v>
      </c>
      <c r="M103" s="6">
        <f>Budget!M17</f>
        <v>55275</v>
      </c>
      <c r="N103" s="6">
        <f>Budget!N17</f>
        <v>27140</v>
      </c>
      <c r="O103" s="6">
        <f t="shared" si="9"/>
        <v>596885</v>
      </c>
      <c r="P103" s="6">
        <f t="shared" si="10"/>
        <v>421055</v>
      </c>
      <c r="Q103" t="str">
        <f t="shared" si="11"/>
        <v>Budget</v>
      </c>
    </row>
    <row r="104" spans="1:17" x14ac:dyDescent="0.35">
      <c r="A104" t="str">
        <f>Budget!A18</f>
        <v>Metro Logistics</v>
      </c>
      <c r="B104" t="str">
        <f>Budget!B18</f>
        <v>TAP Business</v>
      </c>
      <c r="C104" s="6">
        <f>Budget!C18</f>
        <v>61475</v>
      </c>
      <c r="D104" s="6">
        <f>Budget!D18</f>
        <v>72250</v>
      </c>
      <c r="E104" s="6">
        <f>Budget!E18</f>
        <v>97328</v>
      </c>
      <c r="F104" s="6">
        <f>Budget!F18</f>
        <v>57144</v>
      </c>
      <c r="G104" s="6">
        <f>Budget!G18</f>
        <v>40213</v>
      </c>
      <c r="H104" s="6">
        <f>Budget!H18</f>
        <v>104540</v>
      </c>
      <c r="I104" s="6">
        <f>Budget!I18</f>
        <v>68505</v>
      </c>
      <c r="J104" s="6">
        <f>Budget!J18</f>
        <v>81439</v>
      </c>
      <c r="K104" s="6">
        <f>Budget!K18</f>
        <v>90945</v>
      </c>
      <c r="L104" s="6">
        <f>Budget!L18</f>
        <v>94863</v>
      </c>
      <c r="M104" s="6">
        <f>Budget!M18</f>
        <v>91599</v>
      </c>
      <c r="N104" s="6">
        <f>Budget!N18</f>
        <v>30375</v>
      </c>
      <c r="O104" s="6">
        <f t="shared" si="9"/>
        <v>890676</v>
      </c>
      <c r="P104" s="6">
        <f t="shared" si="10"/>
        <v>582894</v>
      </c>
      <c r="Q104" t="str">
        <f t="shared" si="11"/>
        <v>Budget</v>
      </c>
    </row>
    <row r="105" spans="1:17" x14ac:dyDescent="0.35">
      <c r="A105" t="str">
        <f>Budget!A19</f>
        <v>AVI</v>
      </c>
      <c r="B105" t="str">
        <f>Budget!B19</f>
        <v>TAP Business</v>
      </c>
      <c r="C105" s="6">
        <f>Budget!C19</f>
        <v>26399</v>
      </c>
      <c r="D105" s="6">
        <f>Budget!D19</f>
        <v>95240</v>
      </c>
      <c r="E105" s="6">
        <f>Budget!E19</f>
        <v>56866</v>
      </c>
      <c r="F105" s="6">
        <f>Budget!F19</f>
        <v>37712</v>
      </c>
      <c r="G105" s="6">
        <f>Budget!G19</f>
        <v>83071</v>
      </c>
      <c r="H105" s="6">
        <f>Budget!H19</f>
        <v>84260</v>
      </c>
      <c r="I105" s="6">
        <f>Budget!I19</f>
        <v>13240</v>
      </c>
      <c r="J105" s="6">
        <f>Budget!J19</f>
        <v>86232</v>
      </c>
      <c r="K105" s="6">
        <f>Budget!K19</f>
        <v>51152</v>
      </c>
      <c r="L105" s="6">
        <f>Budget!L19</f>
        <v>79890</v>
      </c>
      <c r="M105" s="6">
        <f>Budget!M19</f>
        <v>22794</v>
      </c>
      <c r="N105" s="6">
        <f>Budget!N19</f>
        <v>43446</v>
      </c>
      <c r="O105" s="6">
        <f t="shared" si="9"/>
        <v>680302</v>
      </c>
      <c r="P105" s="6">
        <f t="shared" si="10"/>
        <v>483020</v>
      </c>
      <c r="Q105" t="str">
        <f t="shared" si="11"/>
        <v>Budget</v>
      </c>
    </row>
    <row r="106" spans="1:17" x14ac:dyDescent="0.35">
      <c r="A106" t="str">
        <f>Budget!A20</f>
        <v>Speccon</v>
      </c>
      <c r="B106" t="str">
        <f>Budget!B20</f>
        <v xml:space="preserve">Compliance Training </v>
      </c>
      <c r="C106" s="6">
        <f>Budget!C20</f>
        <v>106458</v>
      </c>
      <c r="D106" s="6">
        <f>Budget!D20</f>
        <v>52372</v>
      </c>
      <c r="E106" s="6">
        <f>Budget!E20</f>
        <v>29033</v>
      </c>
      <c r="F106" s="6">
        <f>Budget!F20</f>
        <v>101981</v>
      </c>
      <c r="G106" s="6">
        <f>Budget!G20</f>
        <v>76245</v>
      </c>
      <c r="H106" s="6">
        <f>Budget!H20</f>
        <v>2932</v>
      </c>
      <c r="I106" s="6">
        <f>Budget!I20</f>
        <v>22611</v>
      </c>
      <c r="J106" s="6">
        <f>Budget!J20</f>
        <v>30415</v>
      </c>
      <c r="K106" s="6">
        <f>Budget!K20</f>
        <v>56329</v>
      </c>
      <c r="L106" s="6">
        <f>Budget!L20</f>
        <v>26092</v>
      </c>
      <c r="M106" s="6">
        <f>Budget!M20</f>
        <v>65786</v>
      </c>
      <c r="N106" s="6">
        <f>Budget!N20</f>
        <v>52509</v>
      </c>
      <c r="O106" s="6">
        <f t="shared" si="9"/>
        <v>622763</v>
      </c>
      <c r="P106" s="6">
        <f t="shared" si="10"/>
        <v>422047</v>
      </c>
      <c r="Q106" t="str">
        <f t="shared" si="11"/>
        <v>Budget</v>
      </c>
    </row>
    <row r="107" spans="1:17" x14ac:dyDescent="0.35">
      <c r="A107" t="str">
        <f>Budget!A21</f>
        <v>Greenfield High School</v>
      </c>
      <c r="B107" t="str">
        <f>Budget!B21</f>
        <v>Learnerships</v>
      </c>
      <c r="C107" s="6">
        <f>Budget!C21</f>
        <v>65792</v>
      </c>
      <c r="D107" s="6">
        <f>Budget!D21</f>
        <v>4204</v>
      </c>
      <c r="E107" s="6">
        <f>Budget!E21</f>
        <v>50437</v>
      </c>
      <c r="F107" s="6">
        <f>Budget!F21</f>
        <v>61771</v>
      </c>
      <c r="G107" s="6">
        <f>Budget!G21</f>
        <v>44116</v>
      </c>
      <c r="H107" s="6">
        <f>Budget!H21</f>
        <v>103961</v>
      </c>
      <c r="I107" s="6">
        <f>Budget!I21</f>
        <v>41180</v>
      </c>
      <c r="J107" s="6">
        <f>Budget!J21</f>
        <v>7099</v>
      </c>
      <c r="K107" s="6">
        <f>Budget!K21</f>
        <v>72790</v>
      </c>
      <c r="L107" s="6">
        <f>Budget!L21</f>
        <v>84245</v>
      </c>
      <c r="M107" s="6">
        <f>Budget!M21</f>
        <v>9086</v>
      </c>
      <c r="N107" s="6">
        <f>Budget!N21</f>
        <v>63634</v>
      </c>
      <c r="O107" s="6">
        <f t="shared" si="9"/>
        <v>608315</v>
      </c>
      <c r="P107" s="6">
        <f t="shared" si="10"/>
        <v>378560</v>
      </c>
      <c r="Q107" t="str">
        <f t="shared" si="11"/>
        <v>Budget</v>
      </c>
    </row>
    <row r="108" spans="1:17" x14ac:dyDescent="0.35">
      <c r="A108" t="str">
        <f>Budget!A22</f>
        <v>Speccon</v>
      </c>
      <c r="B108" t="str">
        <f>Budget!B22</f>
        <v>Other Courses</v>
      </c>
      <c r="C108" s="6">
        <f>Budget!C22</f>
        <v>32446</v>
      </c>
      <c r="D108" s="6">
        <f>Budget!D22</f>
        <v>71644</v>
      </c>
      <c r="E108" s="6">
        <f>Budget!E22</f>
        <v>57880</v>
      </c>
      <c r="F108" s="6">
        <f>Budget!F22</f>
        <v>55983</v>
      </c>
      <c r="G108" s="6">
        <f>Budget!G22</f>
        <v>102753</v>
      </c>
      <c r="H108" s="6">
        <f>Budget!H22</f>
        <v>29048</v>
      </c>
      <c r="I108" s="6">
        <f>Budget!I22</f>
        <v>97180</v>
      </c>
      <c r="J108" s="6">
        <f>Budget!J22</f>
        <v>47557</v>
      </c>
      <c r="K108" s="6">
        <f>Budget!K22</f>
        <v>97087</v>
      </c>
      <c r="L108" s="6">
        <f>Budget!L22</f>
        <v>51491</v>
      </c>
      <c r="M108" s="6">
        <f>Budget!M22</f>
        <v>37465</v>
      </c>
      <c r="N108" s="6">
        <f>Budget!N22</f>
        <v>35239</v>
      </c>
      <c r="O108" s="6">
        <f t="shared" si="9"/>
        <v>715773</v>
      </c>
      <c r="P108" s="6">
        <f t="shared" si="10"/>
        <v>494491</v>
      </c>
      <c r="Q108" t="str">
        <f t="shared" si="11"/>
        <v>Budget</v>
      </c>
    </row>
    <row r="109" spans="1:17" x14ac:dyDescent="0.35">
      <c r="A109" t="str">
        <f>Budget!A23</f>
        <v>FNB</v>
      </c>
      <c r="B109" t="str">
        <f>Budget!B23</f>
        <v>Other Courses</v>
      </c>
      <c r="C109" s="6">
        <f>Budget!C23</f>
        <v>28580</v>
      </c>
      <c r="D109" s="6">
        <f>Budget!D23</f>
        <v>63121</v>
      </c>
      <c r="E109" s="6">
        <f>Budget!E23</f>
        <v>95328</v>
      </c>
      <c r="F109" s="6">
        <f>Budget!F23</f>
        <v>42126</v>
      </c>
      <c r="G109" s="6">
        <f>Budget!G23</f>
        <v>42569</v>
      </c>
      <c r="H109" s="6">
        <f>Budget!H23</f>
        <v>6014</v>
      </c>
      <c r="I109" s="6">
        <f>Budget!I23</f>
        <v>69333</v>
      </c>
      <c r="J109" s="6">
        <f>Budget!J23</f>
        <v>69077</v>
      </c>
      <c r="K109" s="6">
        <f>Budget!K23</f>
        <v>98266</v>
      </c>
      <c r="L109" s="6">
        <f>Budget!L23</f>
        <v>10174</v>
      </c>
      <c r="M109" s="6">
        <f>Budget!M23</f>
        <v>20419</v>
      </c>
      <c r="N109" s="6">
        <f>Budget!N23</f>
        <v>91909</v>
      </c>
      <c r="O109" s="6">
        <f t="shared" si="9"/>
        <v>636916</v>
      </c>
      <c r="P109" s="6">
        <f t="shared" si="10"/>
        <v>416148</v>
      </c>
      <c r="Q109" t="str">
        <f t="shared" si="11"/>
        <v>Budget</v>
      </c>
    </row>
    <row r="110" spans="1:17" x14ac:dyDescent="0.35">
      <c r="A110" t="str">
        <f>Budget!A24</f>
        <v>STND BANK</v>
      </c>
      <c r="B110" t="str">
        <f>Budget!B24</f>
        <v xml:space="preserve">Compliance Training </v>
      </c>
      <c r="C110" s="6">
        <f>Budget!C24</f>
        <v>44015</v>
      </c>
      <c r="D110" s="6">
        <f>Budget!D24</f>
        <v>10077</v>
      </c>
      <c r="E110" s="6">
        <f>Budget!E24</f>
        <v>21679</v>
      </c>
      <c r="F110" s="6">
        <f>Budget!F24</f>
        <v>30138</v>
      </c>
      <c r="G110" s="6">
        <f>Budget!G24</f>
        <v>13961</v>
      </c>
      <c r="H110" s="6">
        <f>Budget!H24</f>
        <v>109770</v>
      </c>
      <c r="I110" s="6">
        <f>Budget!I24</f>
        <v>11837</v>
      </c>
      <c r="J110" s="6">
        <f>Budget!J24</f>
        <v>62710</v>
      </c>
      <c r="K110" s="6">
        <f>Budget!K24</f>
        <v>22255</v>
      </c>
      <c r="L110" s="6">
        <f>Budget!L24</f>
        <v>82295</v>
      </c>
      <c r="M110" s="6">
        <f>Budget!M24</f>
        <v>16434</v>
      </c>
      <c r="N110" s="6">
        <f>Budget!N24</f>
        <v>43335</v>
      </c>
      <c r="O110" s="6">
        <f t="shared" si="9"/>
        <v>468506</v>
      </c>
      <c r="P110" s="6">
        <f t="shared" si="10"/>
        <v>304187</v>
      </c>
      <c r="Q110" t="str">
        <f t="shared" si="11"/>
        <v>Budget</v>
      </c>
    </row>
    <row r="111" spans="1:17" x14ac:dyDescent="0.35">
      <c r="A111" t="str">
        <f>Budget!A25</f>
        <v>Tech Solutions SA</v>
      </c>
      <c r="B111" t="str">
        <f>Budget!B25</f>
        <v>Learnerships</v>
      </c>
      <c r="C111" s="6">
        <f>Budget!C25</f>
        <v>19949</v>
      </c>
      <c r="D111" s="6">
        <f>Budget!D25</f>
        <v>68584</v>
      </c>
      <c r="E111" s="6">
        <f>Budget!E25</f>
        <v>38992</v>
      </c>
      <c r="F111" s="6">
        <f>Budget!F25</f>
        <v>107535</v>
      </c>
      <c r="G111" s="6">
        <f>Budget!G25</f>
        <v>61268</v>
      </c>
      <c r="H111" s="6">
        <f>Budget!H25</f>
        <v>67351</v>
      </c>
      <c r="I111" s="6">
        <f>Budget!I25</f>
        <v>40934</v>
      </c>
      <c r="J111" s="6">
        <f>Budget!J25</f>
        <v>104047</v>
      </c>
      <c r="K111" s="6">
        <f>Budget!K25</f>
        <v>35389</v>
      </c>
      <c r="L111" s="6">
        <f>Budget!L25</f>
        <v>108857</v>
      </c>
      <c r="M111" s="6">
        <f>Budget!M25</f>
        <v>59304</v>
      </c>
      <c r="N111" s="6">
        <f>Budget!N25</f>
        <v>1744</v>
      </c>
      <c r="O111" s="6">
        <f t="shared" si="9"/>
        <v>713954</v>
      </c>
      <c r="P111" s="6">
        <f t="shared" si="10"/>
        <v>508660</v>
      </c>
      <c r="Q111" t="str">
        <f t="shared" ref="Q111:Q126" si="12">Q110</f>
        <v>Budget</v>
      </c>
    </row>
    <row r="112" spans="1:17" x14ac:dyDescent="0.35">
      <c r="A112" t="str">
        <f>Budget!A26</f>
        <v>Metro Logistics</v>
      </c>
      <c r="B112" t="str">
        <f>Budget!B26</f>
        <v>Learnerships</v>
      </c>
      <c r="C112" s="6">
        <f>Budget!C26</f>
        <v>63829</v>
      </c>
      <c r="D112" s="6">
        <f>Budget!D26</f>
        <v>4899</v>
      </c>
      <c r="E112" s="6">
        <f>Budget!E26</f>
        <v>40943</v>
      </c>
      <c r="F112" s="6">
        <f>Budget!F26</f>
        <v>16905</v>
      </c>
      <c r="G112" s="6">
        <f>Budget!G26</f>
        <v>74623</v>
      </c>
      <c r="H112" s="6">
        <f>Budget!H26</f>
        <v>103949</v>
      </c>
      <c r="I112" s="6">
        <f>Budget!I26</f>
        <v>68880</v>
      </c>
      <c r="J112" s="6">
        <f>Budget!J26</f>
        <v>56473</v>
      </c>
      <c r="K112" s="6">
        <f>Budget!K26</f>
        <v>94994</v>
      </c>
      <c r="L112" s="6">
        <f>Budget!L26</f>
        <v>100223</v>
      </c>
      <c r="M112" s="6">
        <f>Budget!M26</f>
        <v>55679</v>
      </c>
      <c r="N112" s="6">
        <f>Budget!N26</f>
        <v>105566</v>
      </c>
      <c r="O112" s="6">
        <f t="shared" si="9"/>
        <v>786963</v>
      </c>
      <c r="P112" s="6">
        <f t="shared" si="10"/>
        <v>430501</v>
      </c>
      <c r="Q112" t="str">
        <f t="shared" si="12"/>
        <v>Budget</v>
      </c>
    </row>
    <row r="113" spans="1:17" x14ac:dyDescent="0.35">
      <c r="A113" t="str">
        <f>Budget!A27</f>
        <v>Tech Solutions SA</v>
      </c>
      <c r="B113" t="str">
        <f>Budget!B27</f>
        <v>TAP Business</v>
      </c>
      <c r="C113" s="6">
        <f>Budget!C27</f>
        <v>104403</v>
      </c>
      <c r="D113" s="6">
        <f>Budget!D27</f>
        <v>3804</v>
      </c>
      <c r="E113" s="6">
        <f>Budget!E27</f>
        <v>30680</v>
      </c>
      <c r="F113" s="6">
        <f>Budget!F27</f>
        <v>78756</v>
      </c>
      <c r="G113" s="6">
        <f>Budget!G27</f>
        <v>108449</v>
      </c>
      <c r="H113" s="6">
        <f>Budget!H27</f>
        <v>58225</v>
      </c>
      <c r="I113" s="6">
        <f>Budget!I27</f>
        <v>71624</v>
      </c>
      <c r="J113" s="6">
        <f>Budget!J27</f>
        <v>9111</v>
      </c>
      <c r="K113" s="6">
        <f>Budget!K27</f>
        <v>92734</v>
      </c>
      <c r="L113" s="6">
        <f>Budget!L27</f>
        <v>48659</v>
      </c>
      <c r="M113" s="6">
        <f>Budget!M27</f>
        <v>5089</v>
      </c>
      <c r="N113" s="6">
        <f>Budget!N27</f>
        <v>5746</v>
      </c>
      <c r="O113" s="6">
        <f t="shared" si="9"/>
        <v>617280</v>
      </c>
      <c r="P113" s="6">
        <f t="shared" si="10"/>
        <v>465052</v>
      </c>
      <c r="Q113" t="str">
        <f t="shared" si="12"/>
        <v>Budget</v>
      </c>
    </row>
    <row r="114" spans="1:17" x14ac:dyDescent="0.35">
      <c r="A114" t="str">
        <f>Budget!A28</f>
        <v>AVI</v>
      </c>
      <c r="B114" t="str">
        <f>Budget!B28</f>
        <v xml:space="preserve">Compliance Training </v>
      </c>
      <c r="C114" s="6">
        <f>Budget!C28</f>
        <v>62902</v>
      </c>
      <c r="D114" s="6">
        <f>Budget!D28</f>
        <v>38288</v>
      </c>
      <c r="E114" s="6">
        <f>Budget!E28</f>
        <v>1088</v>
      </c>
      <c r="F114" s="6">
        <f>Budget!F28</f>
        <v>106333</v>
      </c>
      <c r="G114" s="6">
        <f>Budget!G28</f>
        <v>37761</v>
      </c>
      <c r="H114" s="6">
        <f>Budget!H28</f>
        <v>74687</v>
      </c>
      <c r="I114" s="6">
        <f>Budget!I28</f>
        <v>28501</v>
      </c>
      <c r="J114" s="6">
        <f>Budget!J28</f>
        <v>16070</v>
      </c>
      <c r="K114" s="6">
        <f>Budget!K28</f>
        <v>79165</v>
      </c>
      <c r="L114" s="6">
        <f>Budget!L28</f>
        <v>75226</v>
      </c>
      <c r="M114" s="6">
        <f>Budget!M28</f>
        <v>71354</v>
      </c>
      <c r="N114" s="6">
        <f>Budget!N28</f>
        <v>60360</v>
      </c>
      <c r="O114" s="6">
        <f t="shared" si="9"/>
        <v>651735</v>
      </c>
      <c r="P114" s="6">
        <f t="shared" si="10"/>
        <v>365630</v>
      </c>
      <c r="Q114" t="str">
        <f t="shared" si="12"/>
        <v>Budget</v>
      </c>
    </row>
    <row r="115" spans="1:17" x14ac:dyDescent="0.35">
      <c r="A115" t="str">
        <f>Budget!A29</f>
        <v>INVESTEC</v>
      </c>
      <c r="B115" t="str">
        <f>Budget!B29</f>
        <v>Learnerships</v>
      </c>
      <c r="C115" s="6">
        <f>Budget!C29</f>
        <v>11603</v>
      </c>
      <c r="D115" s="6">
        <f>Budget!D29</f>
        <v>108543</v>
      </c>
      <c r="E115" s="6">
        <f>Budget!E29</f>
        <v>12333</v>
      </c>
      <c r="F115" s="6">
        <f>Budget!F29</f>
        <v>39458</v>
      </c>
      <c r="G115" s="6">
        <f>Budget!G29</f>
        <v>9934</v>
      </c>
      <c r="H115" s="6">
        <f>Budget!H29</f>
        <v>38994</v>
      </c>
      <c r="I115" s="6">
        <f>Budget!I29</f>
        <v>64308</v>
      </c>
      <c r="J115" s="6">
        <f>Budget!J29</f>
        <v>38888</v>
      </c>
      <c r="K115" s="6">
        <f>Budget!K29</f>
        <v>56825</v>
      </c>
      <c r="L115" s="6">
        <f>Budget!L29</f>
        <v>82226</v>
      </c>
      <c r="M115" s="6">
        <f>Budget!M29</f>
        <v>54497</v>
      </c>
      <c r="N115" s="6">
        <f>Budget!N29</f>
        <v>62006</v>
      </c>
      <c r="O115" s="6">
        <f t="shared" si="9"/>
        <v>579615</v>
      </c>
      <c r="P115" s="6">
        <f t="shared" si="10"/>
        <v>324061</v>
      </c>
      <c r="Q115" t="str">
        <f t="shared" si="12"/>
        <v>Budget</v>
      </c>
    </row>
    <row r="116" spans="1:17" x14ac:dyDescent="0.35">
      <c r="A116" t="str">
        <f>Budget!A30</f>
        <v>FNB</v>
      </c>
      <c r="B116" t="str">
        <f>Budget!B30</f>
        <v>Learnerships</v>
      </c>
      <c r="C116" s="6">
        <f>Budget!C30</f>
        <v>47191</v>
      </c>
      <c r="D116" s="6">
        <f>Budget!D30</f>
        <v>95079</v>
      </c>
      <c r="E116" s="6">
        <f>Budget!E30</f>
        <v>50119</v>
      </c>
      <c r="F116" s="6">
        <f>Budget!F30</f>
        <v>14309</v>
      </c>
      <c r="G116" s="6">
        <f>Budget!G30</f>
        <v>89696</v>
      </c>
      <c r="H116" s="6">
        <f>Budget!H30</f>
        <v>15234</v>
      </c>
      <c r="I116" s="6">
        <f>Budget!I30</f>
        <v>63400</v>
      </c>
      <c r="J116" s="6">
        <f>Budget!J30</f>
        <v>97666</v>
      </c>
      <c r="K116" s="6">
        <f>Budget!K30</f>
        <v>35923</v>
      </c>
      <c r="L116" s="6">
        <f>Budget!L30</f>
        <v>46231</v>
      </c>
      <c r="M116" s="6">
        <f>Budget!M30</f>
        <v>52130</v>
      </c>
      <c r="N116" s="6">
        <f>Budget!N30</f>
        <v>80092</v>
      </c>
      <c r="O116" s="6">
        <f t="shared" si="9"/>
        <v>687070</v>
      </c>
      <c r="P116" s="6">
        <f t="shared" si="10"/>
        <v>472694</v>
      </c>
      <c r="Q116" t="str">
        <f t="shared" si="12"/>
        <v>Budget</v>
      </c>
    </row>
    <row r="117" spans="1:17" x14ac:dyDescent="0.35">
      <c r="A117" t="str">
        <f>Budget!A31</f>
        <v>ABC Manufacturing</v>
      </c>
      <c r="B117" t="str">
        <f>Budget!B31</f>
        <v>TAP Business</v>
      </c>
      <c r="C117" s="6">
        <f>Budget!C31</f>
        <v>35993</v>
      </c>
      <c r="D117" s="6">
        <f>Budget!D31</f>
        <v>16013</v>
      </c>
      <c r="E117" s="6">
        <f>Budget!E31</f>
        <v>55327</v>
      </c>
      <c r="F117" s="6">
        <f>Budget!F31</f>
        <v>75242</v>
      </c>
      <c r="G117" s="6">
        <f>Budget!G31</f>
        <v>92091</v>
      </c>
      <c r="H117" s="6">
        <f>Budget!H31</f>
        <v>64011</v>
      </c>
      <c r="I117" s="6">
        <f>Budget!I31</f>
        <v>54823</v>
      </c>
      <c r="J117" s="6">
        <f>Budget!J31</f>
        <v>97682</v>
      </c>
      <c r="K117" s="6">
        <f>Budget!K31</f>
        <v>93113</v>
      </c>
      <c r="L117" s="6">
        <f>Budget!L31</f>
        <v>54075</v>
      </c>
      <c r="M117" s="6">
        <f>Budget!M31</f>
        <v>47845</v>
      </c>
      <c r="N117" s="6">
        <f>Budget!N31</f>
        <v>94145</v>
      </c>
      <c r="O117" s="6">
        <f t="shared" si="9"/>
        <v>780360</v>
      </c>
      <c r="P117" s="6">
        <f t="shared" si="10"/>
        <v>491182</v>
      </c>
      <c r="Q117" t="str">
        <f t="shared" si="12"/>
        <v>Budget</v>
      </c>
    </row>
    <row r="118" spans="1:17" x14ac:dyDescent="0.35">
      <c r="A118" t="str">
        <f>Budget!A32</f>
        <v>Tech Solutions SA</v>
      </c>
      <c r="B118" t="str">
        <f>Budget!B32</f>
        <v>Other Courses</v>
      </c>
      <c r="C118" s="6">
        <f>Budget!C32</f>
        <v>108242</v>
      </c>
      <c r="D118" s="6">
        <f>Budget!D32</f>
        <v>18702</v>
      </c>
      <c r="E118" s="6">
        <f>Budget!E32</f>
        <v>90433</v>
      </c>
      <c r="F118" s="6">
        <f>Budget!F32</f>
        <v>11944</v>
      </c>
      <c r="G118" s="6">
        <f>Budget!G32</f>
        <v>26576</v>
      </c>
      <c r="H118" s="6">
        <f>Budget!H32</f>
        <v>54300</v>
      </c>
      <c r="I118" s="6">
        <f>Budget!I32</f>
        <v>5843</v>
      </c>
      <c r="J118" s="6">
        <f>Budget!J32</f>
        <v>47869</v>
      </c>
      <c r="K118" s="6">
        <f>Budget!K32</f>
        <v>72408</v>
      </c>
      <c r="L118" s="6">
        <f>Budget!L32</f>
        <v>97165</v>
      </c>
      <c r="M118" s="6">
        <f>Budget!M32</f>
        <v>11900</v>
      </c>
      <c r="N118" s="6">
        <f>Budget!N32</f>
        <v>86169</v>
      </c>
      <c r="O118" s="6">
        <f t="shared" si="9"/>
        <v>631551</v>
      </c>
      <c r="P118" s="6">
        <f t="shared" si="10"/>
        <v>363909</v>
      </c>
      <c r="Q118" t="str">
        <f t="shared" si="12"/>
        <v>Budget</v>
      </c>
    </row>
    <row r="119" spans="1:17" x14ac:dyDescent="0.35">
      <c r="A119" t="str">
        <f>Budget!A33</f>
        <v>Premier Academy</v>
      </c>
      <c r="B119" t="str">
        <f>Budget!B33</f>
        <v>Learnerships</v>
      </c>
      <c r="C119" s="6">
        <f>Budget!C33</f>
        <v>45396</v>
      </c>
      <c r="D119" s="6">
        <f>Budget!D33</f>
        <v>9649</v>
      </c>
      <c r="E119" s="6">
        <f>Budget!E33</f>
        <v>26869</v>
      </c>
      <c r="F119" s="6">
        <f>Budget!F33</f>
        <v>2185</v>
      </c>
      <c r="G119" s="6">
        <f>Budget!G33</f>
        <v>80230</v>
      </c>
      <c r="H119" s="6">
        <f>Budget!H33</f>
        <v>42199</v>
      </c>
      <c r="I119" s="6">
        <f>Budget!I33</f>
        <v>101905</v>
      </c>
      <c r="J119" s="6">
        <f>Budget!J33</f>
        <v>68339</v>
      </c>
      <c r="K119" s="6">
        <f>Budget!K33</f>
        <v>18275</v>
      </c>
      <c r="L119" s="6">
        <f>Budget!L33</f>
        <v>11451</v>
      </c>
      <c r="M119" s="6">
        <f>Budget!M33</f>
        <v>72337</v>
      </c>
      <c r="N119" s="6">
        <f>Budget!N33</f>
        <v>9279</v>
      </c>
      <c r="O119" s="6">
        <f t="shared" si="9"/>
        <v>488114</v>
      </c>
      <c r="P119" s="6">
        <f t="shared" si="10"/>
        <v>376772</v>
      </c>
      <c r="Q119" t="str">
        <f t="shared" si="12"/>
        <v>Budget</v>
      </c>
    </row>
    <row r="120" spans="1:17" x14ac:dyDescent="0.35">
      <c r="A120" t="str">
        <f>Budget!A34</f>
        <v>FNB</v>
      </c>
      <c r="B120" t="str">
        <f>Budget!B34</f>
        <v>TAP Business</v>
      </c>
      <c r="C120" s="6">
        <f>Budget!C34</f>
        <v>82031</v>
      </c>
      <c r="D120" s="6">
        <f>Budget!D34</f>
        <v>34608</v>
      </c>
      <c r="E120" s="6">
        <f>Budget!E34</f>
        <v>34803</v>
      </c>
      <c r="F120" s="6">
        <f>Budget!F34</f>
        <v>104225</v>
      </c>
      <c r="G120" s="6">
        <f>Budget!G34</f>
        <v>72829</v>
      </c>
      <c r="H120" s="6">
        <f>Budget!H34</f>
        <v>93858</v>
      </c>
      <c r="I120" s="6">
        <f>Budget!I34</f>
        <v>67739</v>
      </c>
      <c r="J120" s="6">
        <f>Budget!J34</f>
        <v>54185</v>
      </c>
      <c r="K120" s="6">
        <f>Budget!K34</f>
        <v>104205</v>
      </c>
      <c r="L120" s="6">
        <f>Budget!L34</f>
        <v>35542</v>
      </c>
      <c r="M120" s="6">
        <f>Budget!M34</f>
        <v>40823</v>
      </c>
      <c r="N120" s="6">
        <f>Budget!N34</f>
        <v>55705</v>
      </c>
      <c r="O120" s="6">
        <f t="shared" si="9"/>
        <v>780553</v>
      </c>
      <c r="P120" s="6">
        <f t="shared" si="10"/>
        <v>544278</v>
      </c>
      <c r="Q120" t="str">
        <f t="shared" si="12"/>
        <v>Budget</v>
      </c>
    </row>
    <row r="121" spans="1:17" x14ac:dyDescent="0.35">
      <c r="A121" t="str">
        <f>Budget!A35</f>
        <v>Tech Solutions SA</v>
      </c>
      <c r="B121" t="str">
        <f>Budget!B35</f>
        <v xml:space="preserve">Compliance Training </v>
      </c>
      <c r="C121" s="6">
        <f>Budget!C35</f>
        <v>61512</v>
      </c>
      <c r="D121" s="6">
        <f>Budget!D35</f>
        <v>104284</v>
      </c>
      <c r="E121" s="6">
        <f>Budget!E35</f>
        <v>79891</v>
      </c>
      <c r="F121" s="6">
        <f>Budget!F35</f>
        <v>28420</v>
      </c>
      <c r="G121" s="6">
        <f>Budget!G35</f>
        <v>46935</v>
      </c>
      <c r="H121" s="6">
        <f>Budget!H35</f>
        <v>54735</v>
      </c>
      <c r="I121" s="6">
        <f>Budget!I35</f>
        <v>45377</v>
      </c>
      <c r="J121" s="6">
        <f>Budget!J35</f>
        <v>13706</v>
      </c>
      <c r="K121" s="6">
        <f>Budget!K35</f>
        <v>47986</v>
      </c>
      <c r="L121" s="6">
        <f>Budget!L35</f>
        <v>82379</v>
      </c>
      <c r="M121" s="6">
        <f>Budget!M35</f>
        <v>76160</v>
      </c>
      <c r="N121" s="6">
        <f>Budget!N35</f>
        <v>6395</v>
      </c>
      <c r="O121" s="6">
        <f t="shared" si="9"/>
        <v>647780</v>
      </c>
      <c r="P121" s="6">
        <f t="shared" si="10"/>
        <v>434860</v>
      </c>
      <c r="Q121" t="str">
        <f t="shared" si="12"/>
        <v>Budget</v>
      </c>
    </row>
    <row r="122" spans="1:17" x14ac:dyDescent="0.35">
      <c r="A122" t="str">
        <f>Budget!A36</f>
        <v>ABC Manufacturing</v>
      </c>
      <c r="B122" t="str">
        <f>Budget!B36</f>
        <v>Learnerships</v>
      </c>
      <c r="C122" s="6">
        <f>Budget!C36</f>
        <v>98068</v>
      </c>
      <c r="D122" s="6">
        <f>Budget!D36</f>
        <v>11699</v>
      </c>
      <c r="E122" s="6">
        <f>Budget!E36</f>
        <v>59</v>
      </c>
      <c r="F122" s="6">
        <f>Budget!F36</f>
        <v>18395</v>
      </c>
      <c r="G122" s="6">
        <f>Budget!G36</f>
        <v>50890</v>
      </c>
      <c r="H122" s="6">
        <f>Budget!H36</f>
        <v>103840</v>
      </c>
      <c r="I122" s="6">
        <f>Budget!I36</f>
        <v>94305</v>
      </c>
      <c r="J122" s="6">
        <f>Budget!J36</f>
        <v>20213</v>
      </c>
      <c r="K122" s="6">
        <f>Budget!K36</f>
        <v>48696</v>
      </c>
      <c r="L122" s="6">
        <f>Budget!L36</f>
        <v>97670</v>
      </c>
      <c r="M122" s="6">
        <f>Budget!M36</f>
        <v>90250</v>
      </c>
      <c r="N122" s="6">
        <f>Budget!N36</f>
        <v>1509</v>
      </c>
      <c r="O122" s="6">
        <f t="shared" si="9"/>
        <v>635594</v>
      </c>
      <c r="P122" s="6">
        <f t="shared" si="10"/>
        <v>397469</v>
      </c>
      <c r="Q122" t="str">
        <f t="shared" si="12"/>
        <v>Budget</v>
      </c>
    </row>
    <row r="123" spans="1:17" x14ac:dyDescent="0.35">
      <c r="A123" t="str">
        <f>Budget!A37</f>
        <v>Speccon</v>
      </c>
      <c r="B123" t="str">
        <f>Budget!B37</f>
        <v>Learnerships</v>
      </c>
      <c r="C123" s="6">
        <f>Budget!C37</f>
        <v>82385</v>
      </c>
      <c r="D123" s="6">
        <f>Budget!D37</f>
        <v>62663</v>
      </c>
      <c r="E123" s="6">
        <f>Budget!E37</f>
        <v>24740</v>
      </c>
      <c r="F123" s="6">
        <f>Budget!F37</f>
        <v>26044</v>
      </c>
      <c r="G123" s="6">
        <f>Budget!G37</f>
        <v>61431</v>
      </c>
      <c r="H123" s="6">
        <f>Budget!H37</f>
        <v>106302</v>
      </c>
      <c r="I123" s="6">
        <f>Budget!I37</f>
        <v>69182</v>
      </c>
      <c r="J123" s="6">
        <f>Budget!J37</f>
        <v>51736</v>
      </c>
      <c r="K123" s="6">
        <f>Budget!K37</f>
        <v>13237</v>
      </c>
      <c r="L123" s="6">
        <f>Budget!L37</f>
        <v>48709</v>
      </c>
      <c r="M123" s="6">
        <f>Budget!M37</f>
        <v>8823</v>
      </c>
      <c r="N123" s="6">
        <f>Budget!N37</f>
        <v>69353</v>
      </c>
      <c r="O123" s="6">
        <f t="shared" si="9"/>
        <v>624605</v>
      </c>
      <c r="P123" s="6">
        <f t="shared" si="10"/>
        <v>484483</v>
      </c>
      <c r="Q123" t="str">
        <f t="shared" si="12"/>
        <v>Budget</v>
      </c>
    </row>
    <row r="124" spans="1:17" x14ac:dyDescent="0.35">
      <c r="A124" t="str">
        <f>Budget!A38</f>
        <v>INVESTEC</v>
      </c>
      <c r="B124" t="str">
        <f>Budget!B38</f>
        <v xml:space="preserve">Compliance Training </v>
      </c>
      <c r="C124" s="6">
        <f>Budget!C38</f>
        <v>53904</v>
      </c>
      <c r="D124" s="6">
        <f>Budget!D38</f>
        <v>102656</v>
      </c>
      <c r="E124" s="6">
        <f>Budget!E38</f>
        <v>52000</v>
      </c>
      <c r="F124" s="6">
        <f>Budget!F38</f>
        <v>65845</v>
      </c>
      <c r="G124" s="6">
        <f>Budget!G38</f>
        <v>73588</v>
      </c>
      <c r="H124" s="6">
        <f>Budget!H38</f>
        <v>38499</v>
      </c>
      <c r="I124" s="6">
        <f>Budget!I38</f>
        <v>36427</v>
      </c>
      <c r="J124" s="6">
        <f>Budget!J38</f>
        <v>63113</v>
      </c>
      <c r="K124" s="6">
        <f>Budget!K38</f>
        <v>27616</v>
      </c>
      <c r="L124" s="6">
        <f>Budget!L38</f>
        <v>98955</v>
      </c>
      <c r="M124" s="6">
        <f>Budget!M38</f>
        <v>60655</v>
      </c>
      <c r="N124" s="6">
        <f>Budget!N38</f>
        <v>87194</v>
      </c>
      <c r="O124" s="6">
        <f t="shared" si="9"/>
        <v>760452</v>
      </c>
      <c r="P124" s="6">
        <f t="shared" si="10"/>
        <v>486032</v>
      </c>
      <c r="Q124" t="str">
        <f t="shared" si="12"/>
        <v>Budget</v>
      </c>
    </row>
    <row r="125" spans="1:17" x14ac:dyDescent="0.35">
      <c r="A125" t="str">
        <f>Budget!A39</f>
        <v>STND BANK</v>
      </c>
      <c r="B125" t="str">
        <f>Budget!B39</f>
        <v>Learnerships</v>
      </c>
      <c r="C125" s="6">
        <f>Budget!C39</f>
        <v>103233</v>
      </c>
      <c r="D125" s="6">
        <f>Budget!D39</f>
        <v>66779</v>
      </c>
      <c r="E125" s="6">
        <f>Budget!E39</f>
        <v>94153</v>
      </c>
      <c r="F125" s="6">
        <f>Budget!F39</f>
        <v>41720</v>
      </c>
      <c r="G125" s="6">
        <f>Budget!G39</f>
        <v>4624</v>
      </c>
      <c r="H125" s="6">
        <f>Budget!H39</f>
        <v>101849</v>
      </c>
      <c r="I125" s="6">
        <f>Budget!I39</f>
        <v>49943</v>
      </c>
      <c r="J125" s="6">
        <f>Budget!J39</f>
        <v>14136</v>
      </c>
      <c r="K125" s="6">
        <f>Budget!K39</f>
        <v>72456</v>
      </c>
      <c r="L125" s="6">
        <f>Budget!L39</f>
        <v>66296</v>
      </c>
      <c r="M125" s="6">
        <f>Budget!M39</f>
        <v>79523</v>
      </c>
      <c r="N125" s="6">
        <f>Budget!N39</f>
        <v>1477</v>
      </c>
      <c r="O125" s="6">
        <f t="shared" si="9"/>
        <v>696189</v>
      </c>
      <c r="P125" s="6">
        <f t="shared" si="10"/>
        <v>476437</v>
      </c>
      <c r="Q125" t="str">
        <f t="shared" si="12"/>
        <v>Budget</v>
      </c>
    </row>
    <row r="126" spans="1:17" x14ac:dyDescent="0.35">
      <c r="A126" t="str">
        <f>YTD!A2</f>
        <v>Tech Solutions SA</v>
      </c>
      <c r="B126" t="str">
        <f>YTD!B2</f>
        <v>Learnerships</v>
      </c>
      <c r="C126" s="6">
        <f>YTD!C2</f>
        <v>85576</v>
      </c>
      <c r="D126" s="6">
        <f>YTD!D2</f>
        <v>83179</v>
      </c>
      <c r="E126" s="6">
        <f>YTD!E2</f>
        <v>43987</v>
      </c>
      <c r="F126" s="6">
        <f>YTD!F2</f>
        <v>46761</v>
      </c>
      <c r="G126" s="6">
        <f>YTD!G2</f>
        <v>18441</v>
      </c>
      <c r="H126" s="6">
        <f>YTD!H2</f>
        <v>84378</v>
      </c>
      <c r="I126" s="6">
        <f>YTD!I2</f>
        <v>35852</v>
      </c>
      <c r="J126" s="6">
        <f>YTD!J2</f>
        <v>36721</v>
      </c>
      <c r="K126" s="6">
        <f>YTD!K2</f>
        <v>89058</v>
      </c>
      <c r="L126" s="6">
        <f>YTD!L2</f>
        <v>399</v>
      </c>
      <c r="M126" s="6">
        <f>YTD!M2</f>
        <v>47572</v>
      </c>
      <c r="N126" s="6">
        <f>YTD!N2</f>
        <v>0</v>
      </c>
      <c r="O126" s="6">
        <f t="shared" si="9"/>
        <v>571924</v>
      </c>
      <c r="P126" s="6">
        <f t="shared" si="10"/>
        <v>434895</v>
      </c>
      <c r="Q126" t="s">
        <v>121</v>
      </c>
    </row>
    <row r="127" spans="1:17" x14ac:dyDescent="0.35">
      <c r="A127" t="str">
        <f>YTD!A3</f>
        <v>Speccon</v>
      </c>
      <c r="B127" t="str">
        <f>YTD!B3</f>
        <v>Other Courses</v>
      </c>
      <c r="C127" s="6">
        <f>YTD!C3</f>
        <v>62103</v>
      </c>
      <c r="D127" s="6">
        <f>YTD!D3</f>
        <v>22434</v>
      </c>
      <c r="E127" s="6">
        <f>YTD!E3</f>
        <v>43703</v>
      </c>
      <c r="F127" s="6">
        <f>YTD!F3</f>
        <v>80641</v>
      </c>
      <c r="G127" s="6">
        <f>YTD!G3</f>
        <v>24230</v>
      </c>
      <c r="H127" s="6">
        <f>YTD!H3</f>
        <v>18096</v>
      </c>
      <c r="I127" s="6">
        <f>YTD!I3</f>
        <v>28022</v>
      </c>
      <c r="J127" s="6">
        <f>YTD!J3</f>
        <v>97357</v>
      </c>
      <c r="K127" s="6">
        <f>YTD!K3</f>
        <v>79984</v>
      </c>
      <c r="L127" s="6">
        <f>YTD!L3</f>
        <v>31792</v>
      </c>
      <c r="M127" s="6">
        <f>YTD!M3</f>
        <v>49187</v>
      </c>
      <c r="N127" s="6">
        <f>YTD!N3</f>
        <v>0</v>
      </c>
      <c r="O127" s="6">
        <f t="shared" si="9"/>
        <v>537549</v>
      </c>
      <c r="P127" s="6">
        <f t="shared" si="10"/>
        <v>376586</v>
      </c>
      <c r="Q127" t="s">
        <v>121</v>
      </c>
    </row>
    <row r="128" spans="1:17" x14ac:dyDescent="0.35">
      <c r="A128" t="str">
        <f>YTD!A4</f>
        <v>Premier Academy</v>
      </c>
      <c r="B128" t="str">
        <f>YTD!B4</f>
        <v>Other Courses</v>
      </c>
      <c r="C128" s="6">
        <f>YTD!C4</f>
        <v>12790</v>
      </c>
      <c r="D128" s="6">
        <f>YTD!D4</f>
        <v>17079</v>
      </c>
      <c r="E128" s="6">
        <f>YTD!E4</f>
        <v>37030</v>
      </c>
      <c r="F128" s="6">
        <f>YTD!F4</f>
        <v>95657</v>
      </c>
      <c r="G128" s="6">
        <f>YTD!G4</f>
        <v>59141</v>
      </c>
      <c r="H128" s="6">
        <f>YTD!H4</f>
        <v>37526</v>
      </c>
      <c r="I128" s="6">
        <f>YTD!I4</f>
        <v>26964</v>
      </c>
      <c r="J128" s="6">
        <f>YTD!J4</f>
        <v>19321</v>
      </c>
      <c r="K128" s="6">
        <f>YTD!K4</f>
        <v>17404</v>
      </c>
      <c r="L128" s="6">
        <f>YTD!L4</f>
        <v>69521</v>
      </c>
      <c r="M128" s="6">
        <f>YTD!M4</f>
        <v>46793</v>
      </c>
      <c r="N128" s="6">
        <f>YTD!N4</f>
        <v>0</v>
      </c>
      <c r="O128" s="6">
        <f t="shared" si="9"/>
        <v>439226</v>
      </c>
      <c r="P128" s="6">
        <f t="shared" si="10"/>
        <v>305508</v>
      </c>
      <c r="Q128" t="s">
        <v>121</v>
      </c>
    </row>
    <row r="129" spans="1:17" x14ac:dyDescent="0.35">
      <c r="A129" t="str">
        <f>YTD!A5</f>
        <v>ABC Manufacturing</v>
      </c>
      <c r="B129" t="str">
        <f>YTD!B5</f>
        <v xml:space="preserve">Compliance Training </v>
      </c>
      <c r="C129" s="6">
        <f>YTD!C5</f>
        <v>62697</v>
      </c>
      <c r="D129" s="6">
        <f>YTD!D5</f>
        <v>6087</v>
      </c>
      <c r="E129" s="6">
        <f>YTD!E5</f>
        <v>17642</v>
      </c>
      <c r="F129" s="6">
        <f>YTD!F5</f>
        <v>78030</v>
      </c>
      <c r="G129" s="6">
        <f>YTD!G5</f>
        <v>66430</v>
      </c>
      <c r="H129" s="6">
        <f>YTD!H5</f>
        <v>97798</v>
      </c>
      <c r="I129" s="6">
        <f>YTD!I5</f>
        <v>39314</v>
      </c>
      <c r="J129" s="6">
        <f>YTD!J5</f>
        <v>35120</v>
      </c>
      <c r="K129" s="6">
        <f>YTD!K5</f>
        <v>69732</v>
      </c>
      <c r="L129" s="6">
        <f>YTD!L5</f>
        <v>34919</v>
      </c>
      <c r="M129" s="6">
        <f>YTD!M5</f>
        <v>25771</v>
      </c>
      <c r="N129" s="6">
        <f>YTD!N5</f>
        <v>0</v>
      </c>
      <c r="O129" s="6">
        <f t="shared" si="9"/>
        <v>533540</v>
      </c>
      <c r="P129" s="6">
        <f t="shared" si="10"/>
        <v>403118</v>
      </c>
      <c r="Q129" t="s">
        <v>121</v>
      </c>
    </row>
    <row r="130" spans="1:17" x14ac:dyDescent="0.35">
      <c r="A130" t="str">
        <f>YTD!A6</f>
        <v>Metro Logistics</v>
      </c>
      <c r="B130" t="str">
        <f>YTD!B6</f>
        <v>TAP Business</v>
      </c>
      <c r="C130" s="6">
        <f>YTD!C6</f>
        <v>40534</v>
      </c>
      <c r="D130" s="6">
        <f>YTD!D6</f>
        <v>25371</v>
      </c>
      <c r="E130" s="6">
        <f>YTD!E6</f>
        <v>63307</v>
      </c>
      <c r="F130" s="6">
        <f>YTD!F6</f>
        <v>70284</v>
      </c>
      <c r="G130" s="6">
        <f>YTD!G6</f>
        <v>14580</v>
      </c>
      <c r="H130" s="6">
        <f>YTD!H6</f>
        <v>61248</v>
      </c>
      <c r="I130" s="6">
        <f>YTD!I6</f>
        <v>4731</v>
      </c>
      <c r="J130" s="6">
        <f>YTD!J6</f>
        <v>5744</v>
      </c>
      <c r="K130" s="6">
        <f>YTD!K6</f>
        <v>23965</v>
      </c>
      <c r="L130" s="6">
        <f>YTD!L6</f>
        <v>45809</v>
      </c>
      <c r="M130" s="6">
        <f>YTD!M6</f>
        <v>65650</v>
      </c>
      <c r="N130" s="6">
        <f>YTD!N6</f>
        <v>0</v>
      </c>
      <c r="O130" s="6">
        <f t="shared" si="9"/>
        <v>421223</v>
      </c>
      <c r="P130" s="6">
        <f t="shared" si="10"/>
        <v>285799</v>
      </c>
      <c r="Q130" t="s">
        <v>121</v>
      </c>
    </row>
    <row r="131" spans="1:17" x14ac:dyDescent="0.35">
      <c r="A131" t="str">
        <f>YTD!A7</f>
        <v>ABC Manufacturing</v>
      </c>
      <c r="B131" t="str">
        <f>YTD!B7</f>
        <v>Other Courses</v>
      </c>
      <c r="C131" s="6">
        <f>YTD!C7</f>
        <v>2040</v>
      </c>
      <c r="D131" s="6">
        <f>YTD!D7</f>
        <v>49460</v>
      </c>
      <c r="E131" s="6">
        <f>YTD!E7</f>
        <v>27820</v>
      </c>
      <c r="F131" s="6">
        <f>YTD!F7</f>
        <v>30561</v>
      </c>
      <c r="G131" s="6">
        <f>YTD!G7</f>
        <v>57945</v>
      </c>
      <c r="H131" s="6">
        <f>YTD!H7</f>
        <v>50720</v>
      </c>
      <c r="I131" s="6">
        <f>YTD!I7</f>
        <v>65968</v>
      </c>
      <c r="J131" s="6">
        <f>YTD!J7</f>
        <v>26689</v>
      </c>
      <c r="K131" s="6">
        <f>YTD!K7</f>
        <v>4529</v>
      </c>
      <c r="L131" s="6">
        <f>YTD!L7</f>
        <v>47092</v>
      </c>
      <c r="M131" s="6">
        <f>YTD!M7</f>
        <v>3416</v>
      </c>
      <c r="N131" s="6">
        <f>YTD!N7</f>
        <v>0</v>
      </c>
      <c r="O131" s="6">
        <f t="shared" si="9"/>
        <v>366240</v>
      </c>
      <c r="P131" s="6">
        <f t="shared" si="10"/>
        <v>311203</v>
      </c>
      <c r="Q131" t="s">
        <v>121</v>
      </c>
    </row>
    <row r="132" spans="1:17" x14ac:dyDescent="0.35">
      <c r="A132" t="str">
        <f>YTD!A8</f>
        <v>Speccon</v>
      </c>
      <c r="B132" t="str">
        <f>YTD!B8</f>
        <v>TAP Business</v>
      </c>
      <c r="C132" s="6">
        <f>YTD!C8</f>
        <v>75184</v>
      </c>
      <c r="D132" s="6">
        <f>YTD!D8</f>
        <v>78447</v>
      </c>
      <c r="E132" s="6">
        <f>YTD!E8</f>
        <v>55200</v>
      </c>
      <c r="F132" s="6">
        <f>YTD!F8</f>
        <v>14112</v>
      </c>
      <c r="G132" s="6">
        <f>YTD!G8</f>
        <v>83472</v>
      </c>
      <c r="H132" s="6">
        <f>YTD!H8</f>
        <v>27065</v>
      </c>
      <c r="I132" s="6">
        <f>YTD!I8</f>
        <v>27958</v>
      </c>
      <c r="J132" s="6">
        <f>YTD!J8</f>
        <v>98188</v>
      </c>
      <c r="K132" s="6">
        <f>YTD!K8</f>
        <v>36046</v>
      </c>
      <c r="L132" s="6">
        <f>YTD!L8</f>
        <v>76443</v>
      </c>
      <c r="M132" s="6">
        <f>YTD!M8</f>
        <v>88170</v>
      </c>
      <c r="N132" s="6">
        <f>YTD!N8</f>
        <v>0</v>
      </c>
      <c r="O132" s="6">
        <f t="shared" ref="O132:O152" si="13">SUM(C132:N132)</f>
        <v>660285</v>
      </c>
      <c r="P132" s="6">
        <f t="shared" ref="P132:P152" si="14">O132-SUM(K132:N132)</f>
        <v>459626</v>
      </c>
      <c r="Q132" t="s">
        <v>121</v>
      </c>
    </row>
    <row r="133" spans="1:17" x14ac:dyDescent="0.35">
      <c r="A133" t="str">
        <f>YTD!A9</f>
        <v>Tech Solutions SA</v>
      </c>
      <c r="B133" t="str">
        <f>YTD!B9</f>
        <v xml:space="preserve">Compliance Training </v>
      </c>
      <c r="C133" s="6">
        <f>YTD!C9</f>
        <v>24512</v>
      </c>
      <c r="D133" s="6">
        <f>YTD!D9</f>
        <v>47551</v>
      </c>
      <c r="E133" s="6">
        <f>YTD!E9</f>
        <v>12787</v>
      </c>
      <c r="F133" s="6">
        <f>YTD!F9</f>
        <v>51267</v>
      </c>
      <c r="G133" s="6">
        <f>YTD!G9</f>
        <v>15518</v>
      </c>
      <c r="H133" s="6">
        <f>YTD!H9</f>
        <v>48335</v>
      </c>
      <c r="I133" s="6">
        <f>YTD!I9</f>
        <v>74564</v>
      </c>
      <c r="J133" s="6">
        <f>YTD!J9</f>
        <v>93865</v>
      </c>
      <c r="K133" s="6">
        <f>YTD!K9</f>
        <v>84120</v>
      </c>
      <c r="L133" s="6">
        <f>YTD!L9</f>
        <v>29609</v>
      </c>
      <c r="M133" s="6">
        <f>YTD!M9</f>
        <v>35836</v>
      </c>
      <c r="N133" s="6">
        <f>YTD!N9</f>
        <v>0</v>
      </c>
      <c r="O133" s="6">
        <f t="shared" si="13"/>
        <v>517964</v>
      </c>
      <c r="P133" s="6">
        <f t="shared" si="14"/>
        <v>368399</v>
      </c>
      <c r="Q133" t="s">
        <v>121</v>
      </c>
    </row>
    <row r="134" spans="1:17" x14ac:dyDescent="0.35">
      <c r="A134" t="str">
        <f>YTD!A10</f>
        <v>ABC Manufacturing</v>
      </c>
      <c r="B134" t="str">
        <f>YTD!B10</f>
        <v>TAP Business</v>
      </c>
      <c r="C134" s="6">
        <f>YTD!C10</f>
        <v>2166</v>
      </c>
      <c r="D134" s="6">
        <f>YTD!D10</f>
        <v>61813</v>
      </c>
      <c r="E134" s="6">
        <f>YTD!E10</f>
        <v>48075</v>
      </c>
      <c r="F134" s="6">
        <f>YTD!F10</f>
        <v>59678</v>
      </c>
      <c r="G134" s="6">
        <f>YTD!G10</f>
        <v>79746</v>
      </c>
      <c r="H134" s="6">
        <f>YTD!H10</f>
        <v>34915</v>
      </c>
      <c r="I134" s="6">
        <f>YTD!I10</f>
        <v>20624</v>
      </c>
      <c r="J134" s="6">
        <f>YTD!J10</f>
        <v>87149</v>
      </c>
      <c r="K134" s="6">
        <f>YTD!K10</f>
        <v>21793</v>
      </c>
      <c r="L134" s="6">
        <f>YTD!L10</f>
        <v>71435</v>
      </c>
      <c r="M134" s="6">
        <f>YTD!M10</f>
        <v>17258</v>
      </c>
      <c r="N134" s="6">
        <f>YTD!N10</f>
        <v>0</v>
      </c>
      <c r="O134" s="6">
        <f t="shared" si="13"/>
        <v>504652</v>
      </c>
      <c r="P134" s="6">
        <f t="shared" si="14"/>
        <v>394166</v>
      </c>
      <c r="Q134" t="s">
        <v>121</v>
      </c>
    </row>
    <row r="135" spans="1:17" x14ac:dyDescent="0.35">
      <c r="A135" t="str">
        <f>YTD!A11</f>
        <v>AVI</v>
      </c>
      <c r="B135" t="str">
        <f>YTD!B11</f>
        <v>Learnerships</v>
      </c>
      <c r="C135" s="6">
        <f>YTD!C11</f>
        <v>23732</v>
      </c>
      <c r="D135" s="6">
        <f>YTD!D11</f>
        <v>89035</v>
      </c>
      <c r="E135" s="6">
        <f>YTD!E11</f>
        <v>69362</v>
      </c>
      <c r="F135" s="6">
        <f>YTD!F11</f>
        <v>94433</v>
      </c>
      <c r="G135" s="6">
        <f>YTD!G11</f>
        <v>28942</v>
      </c>
      <c r="H135" s="6">
        <f>YTD!H11</f>
        <v>62043</v>
      </c>
      <c r="I135" s="6">
        <f>YTD!I11</f>
        <v>35597</v>
      </c>
      <c r="J135" s="6">
        <f>YTD!J11</f>
        <v>54787</v>
      </c>
      <c r="K135" s="6">
        <f>YTD!K11</f>
        <v>18837</v>
      </c>
      <c r="L135" s="6">
        <f>YTD!L11</f>
        <v>65020</v>
      </c>
      <c r="M135" s="6">
        <f>YTD!M11</f>
        <v>87738</v>
      </c>
      <c r="N135" s="6">
        <f>YTD!N11</f>
        <v>0</v>
      </c>
      <c r="O135" s="6">
        <f t="shared" si="13"/>
        <v>629526</v>
      </c>
      <c r="P135" s="6">
        <f t="shared" si="14"/>
        <v>457931</v>
      </c>
      <c r="Q135" t="s">
        <v>121</v>
      </c>
    </row>
    <row r="136" spans="1:17" x14ac:dyDescent="0.35">
      <c r="A136" t="str">
        <f>YTD!A12</f>
        <v>Premier Academy</v>
      </c>
      <c r="B136" t="str">
        <f>YTD!B12</f>
        <v>TAP Business</v>
      </c>
      <c r="C136" s="6">
        <f>YTD!C12</f>
        <v>66156</v>
      </c>
      <c r="D136" s="6">
        <f>YTD!D12</f>
        <v>85686</v>
      </c>
      <c r="E136" s="6">
        <f>YTD!E12</f>
        <v>58799</v>
      </c>
      <c r="F136" s="6">
        <f>YTD!F12</f>
        <v>49513</v>
      </c>
      <c r="G136" s="6">
        <f>YTD!G12</f>
        <v>45704</v>
      </c>
      <c r="H136" s="6">
        <f>YTD!H12</f>
        <v>32649</v>
      </c>
      <c r="I136" s="6">
        <f>YTD!I12</f>
        <v>72168</v>
      </c>
      <c r="J136" s="6">
        <f>YTD!J12</f>
        <v>20873</v>
      </c>
      <c r="K136" s="6">
        <f>YTD!K12</f>
        <v>3943</v>
      </c>
      <c r="L136" s="6">
        <f>YTD!L12</f>
        <v>44577</v>
      </c>
      <c r="M136" s="6">
        <f>YTD!M12</f>
        <v>38102</v>
      </c>
      <c r="N136" s="6">
        <f>YTD!N12</f>
        <v>0</v>
      </c>
      <c r="O136" s="6">
        <f t="shared" si="13"/>
        <v>518170</v>
      </c>
      <c r="P136" s="6">
        <f t="shared" si="14"/>
        <v>431548</v>
      </c>
      <c r="Q136" t="s">
        <v>121</v>
      </c>
    </row>
    <row r="137" spans="1:17" x14ac:dyDescent="0.35">
      <c r="A137" t="str">
        <f>YTD!A13</f>
        <v>Premier Academy</v>
      </c>
      <c r="B137" t="str">
        <f>YTD!B13</f>
        <v>Learnerships</v>
      </c>
      <c r="C137" s="6">
        <f>YTD!C13</f>
        <v>83650</v>
      </c>
      <c r="D137" s="6">
        <f>YTD!D13</f>
        <v>60342</v>
      </c>
      <c r="E137" s="6">
        <f>YTD!E13</f>
        <v>2990</v>
      </c>
      <c r="F137" s="6">
        <f>YTD!F13</f>
        <v>73325</v>
      </c>
      <c r="G137" s="6">
        <f>YTD!G13</f>
        <v>48420</v>
      </c>
      <c r="H137" s="6">
        <f>YTD!H13</f>
        <v>1716</v>
      </c>
      <c r="I137" s="6">
        <f>YTD!I13</f>
        <v>45910</v>
      </c>
      <c r="J137" s="6">
        <f>YTD!J13</f>
        <v>17938</v>
      </c>
      <c r="K137" s="6">
        <f>YTD!K13</f>
        <v>94153</v>
      </c>
      <c r="L137" s="6">
        <f>YTD!L13</f>
        <v>6773</v>
      </c>
      <c r="M137" s="6">
        <f>YTD!M13</f>
        <v>98630</v>
      </c>
      <c r="N137" s="6">
        <f>YTD!N13</f>
        <v>0</v>
      </c>
      <c r="O137" s="6">
        <f t="shared" si="13"/>
        <v>533847</v>
      </c>
      <c r="P137" s="6">
        <f t="shared" si="14"/>
        <v>334291</v>
      </c>
      <c r="Q137" t="s">
        <v>121</v>
      </c>
    </row>
    <row r="138" spans="1:17" x14ac:dyDescent="0.35">
      <c r="A138" t="str">
        <f>YTD!A14</f>
        <v>Premier Academy</v>
      </c>
      <c r="B138" t="str">
        <f>YTD!B14</f>
        <v xml:space="preserve">Compliance Training </v>
      </c>
      <c r="C138" s="6">
        <f>YTD!C14</f>
        <v>82503</v>
      </c>
      <c r="D138" s="6">
        <f>YTD!D14</f>
        <v>64453</v>
      </c>
      <c r="E138" s="6">
        <f>YTD!E14</f>
        <v>62780</v>
      </c>
      <c r="F138" s="6">
        <f>YTD!F14</f>
        <v>28908</v>
      </c>
      <c r="G138" s="6">
        <f>YTD!G14</f>
        <v>68440</v>
      </c>
      <c r="H138" s="6">
        <f>YTD!H14</f>
        <v>85911</v>
      </c>
      <c r="I138" s="6">
        <f>YTD!I14</f>
        <v>74317</v>
      </c>
      <c r="J138" s="6">
        <f>YTD!J14</f>
        <v>78292</v>
      </c>
      <c r="K138" s="6">
        <f>YTD!K14</f>
        <v>78557</v>
      </c>
      <c r="L138" s="6">
        <f>YTD!L14</f>
        <v>19044</v>
      </c>
      <c r="M138" s="6">
        <f>YTD!M14</f>
        <v>44622</v>
      </c>
      <c r="N138" s="6">
        <f>YTD!N14</f>
        <v>0</v>
      </c>
      <c r="O138" s="6">
        <f t="shared" si="13"/>
        <v>687827</v>
      </c>
      <c r="P138" s="6">
        <f t="shared" si="14"/>
        <v>545604</v>
      </c>
      <c r="Q138" t="s">
        <v>121</v>
      </c>
    </row>
    <row r="139" spans="1:17" x14ac:dyDescent="0.35">
      <c r="A139" t="str">
        <f>YTD!A15</f>
        <v>Speccon</v>
      </c>
      <c r="B139" t="str">
        <f>YTD!B15</f>
        <v xml:space="preserve">Compliance Training </v>
      </c>
      <c r="C139" s="6">
        <f>YTD!C15</f>
        <v>94145</v>
      </c>
      <c r="D139" s="6">
        <f>YTD!D15</f>
        <v>70751</v>
      </c>
      <c r="E139" s="6">
        <f>YTD!E15</f>
        <v>11129</v>
      </c>
      <c r="F139" s="6">
        <f>YTD!F15</f>
        <v>25587</v>
      </c>
      <c r="G139" s="6">
        <f>YTD!G15</f>
        <v>79279</v>
      </c>
      <c r="H139" s="6">
        <f>YTD!H15</f>
        <v>87447</v>
      </c>
      <c r="I139" s="6">
        <f>YTD!I15</f>
        <v>78043</v>
      </c>
      <c r="J139" s="6">
        <f>YTD!J15</f>
        <v>40809</v>
      </c>
      <c r="K139" s="6">
        <f>YTD!K15</f>
        <v>27924</v>
      </c>
      <c r="L139" s="6">
        <f>YTD!L15</f>
        <v>94122</v>
      </c>
      <c r="M139" s="6">
        <f>YTD!M15</f>
        <v>26390</v>
      </c>
      <c r="N139" s="6">
        <f>YTD!N15</f>
        <v>0</v>
      </c>
      <c r="O139" s="6">
        <f t="shared" si="13"/>
        <v>635626</v>
      </c>
      <c r="P139" s="6">
        <f t="shared" si="14"/>
        <v>487190</v>
      </c>
      <c r="Q139" t="s">
        <v>121</v>
      </c>
    </row>
    <row r="140" spans="1:17" x14ac:dyDescent="0.35">
      <c r="A140" t="str">
        <f>YTD!A16</f>
        <v>Greenfield High School</v>
      </c>
      <c r="B140" t="str">
        <f>YTD!B16</f>
        <v xml:space="preserve">Compliance Training </v>
      </c>
      <c r="C140" s="6">
        <f>YTD!C16</f>
        <v>54992</v>
      </c>
      <c r="D140" s="6">
        <f>YTD!D16</f>
        <v>92572</v>
      </c>
      <c r="E140" s="6">
        <f>YTD!E16</f>
        <v>97244</v>
      </c>
      <c r="F140" s="6">
        <f>YTD!F16</f>
        <v>97088</v>
      </c>
      <c r="G140" s="6">
        <f>YTD!G16</f>
        <v>62375</v>
      </c>
      <c r="H140" s="6">
        <f>YTD!H16</f>
        <v>76426</v>
      </c>
      <c r="I140" s="6">
        <f>YTD!I16</f>
        <v>49785</v>
      </c>
      <c r="J140" s="6">
        <f>YTD!J16</f>
        <v>85213</v>
      </c>
      <c r="K140" s="6">
        <f>YTD!K16</f>
        <v>84707</v>
      </c>
      <c r="L140" s="6">
        <f>YTD!L16</f>
        <v>79214</v>
      </c>
      <c r="M140" s="6">
        <f>YTD!M16</f>
        <v>81882</v>
      </c>
      <c r="N140" s="6">
        <f>YTD!N16</f>
        <v>0</v>
      </c>
      <c r="O140" s="6">
        <f t="shared" si="13"/>
        <v>861498</v>
      </c>
      <c r="P140" s="6">
        <f t="shared" si="14"/>
        <v>615695</v>
      </c>
      <c r="Q140" t="s">
        <v>121</v>
      </c>
    </row>
    <row r="141" spans="1:17" x14ac:dyDescent="0.35">
      <c r="A141" t="str">
        <f>YTD!A17</f>
        <v>Metro Logistics</v>
      </c>
      <c r="B141" t="str">
        <f>YTD!B17</f>
        <v>Learnerships</v>
      </c>
      <c r="C141" s="6">
        <f>YTD!C17</f>
        <v>15553</v>
      </c>
      <c r="D141" s="6">
        <f>YTD!D17</f>
        <v>77087</v>
      </c>
      <c r="E141" s="6">
        <f>YTD!E17</f>
        <v>55754</v>
      </c>
      <c r="F141" s="6">
        <f>YTD!F17</f>
        <v>78635</v>
      </c>
      <c r="G141" s="6">
        <f>YTD!G17</f>
        <v>72966</v>
      </c>
      <c r="H141" s="6">
        <f>YTD!H17</f>
        <v>52762</v>
      </c>
      <c r="I141" s="6">
        <f>YTD!I17</f>
        <v>80708</v>
      </c>
      <c r="J141" s="6">
        <f>YTD!J17</f>
        <v>66611</v>
      </c>
      <c r="K141" s="6">
        <f>YTD!K17</f>
        <v>67449</v>
      </c>
      <c r="L141" s="6">
        <f>YTD!L17</f>
        <v>19783</v>
      </c>
      <c r="M141" s="6">
        <f>YTD!M17</f>
        <v>76063</v>
      </c>
      <c r="N141" s="6">
        <f>YTD!N17</f>
        <v>0</v>
      </c>
      <c r="O141" s="6">
        <f t="shared" si="13"/>
        <v>663371</v>
      </c>
      <c r="P141" s="6">
        <f t="shared" si="14"/>
        <v>500076</v>
      </c>
      <c r="Q141" t="s">
        <v>121</v>
      </c>
    </row>
    <row r="142" spans="1:17" x14ac:dyDescent="0.35">
      <c r="A142" t="str">
        <f>YTD!A18</f>
        <v>Greenfield High School</v>
      </c>
      <c r="B142" t="str">
        <f>YTD!B18</f>
        <v>TAP Business</v>
      </c>
      <c r="C142" s="6">
        <f>YTD!C18</f>
        <v>58302</v>
      </c>
      <c r="D142" s="6">
        <f>YTD!D18</f>
        <v>79212</v>
      </c>
      <c r="E142" s="6">
        <f>YTD!E18</f>
        <v>76248</v>
      </c>
      <c r="F142" s="6">
        <f>YTD!F18</f>
        <v>84868</v>
      </c>
      <c r="G142" s="6">
        <f>YTD!G18</f>
        <v>50831</v>
      </c>
      <c r="H142" s="6">
        <f>YTD!H18</f>
        <v>81194</v>
      </c>
      <c r="I142" s="6">
        <f>YTD!I18</f>
        <v>89016</v>
      </c>
      <c r="J142" s="6">
        <f>YTD!J18</f>
        <v>36924</v>
      </c>
      <c r="K142" s="6">
        <f>YTD!K18</f>
        <v>5047</v>
      </c>
      <c r="L142" s="6">
        <f>YTD!L18</f>
        <v>4413</v>
      </c>
      <c r="M142" s="6">
        <f>YTD!M18</f>
        <v>16158</v>
      </c>
      <c r="N142" s="6">
        <f>YTD!N18</f>
        <v>0</v>
      </c>
      <c r="O142" s="6">
        <f t="shared" si="13"/>
        <v>582213</v>
      </c>
      <c r="P142" s="6">
        <f t="shared" si="14"/>
        <v>556595</v>
      </c>
      <c r="Q142" t="s">
        <v>121</v>
      </c>
    </row>
    <row r="143" spans="1:17" x14ac:dyDescent="0.35">
      <c r="A143" t="str">
        <f>YTD!A19</f>
        <v>AVI</v>
      </c>
      <c r="B143" t="str">
        <f>YTD!B19</f>
        <v xml:space="preserve">Compliance Training </v>
      </c>
      <c r="C143" s="6">
        <f>YTD!C19</f>
        <v>69705</v>
      </c>
      <c r="D143" s="6">
        <f>YTD!D19</f>
        <v>71101</v>
      </c>
      <c r="E143" s="6">
        <f>YTD!E19</f>
        <v>57636</v>
      </c>
      <c r="F143" s="6">
        <f>YTD!F19</f>
        <v>46098</v>
      </c>
      <c r="G143" s="6">
        <f>YTD!G19</f>
        <v>23030</v>
      </c>
      <c r="H143" s="6">
        <f>YTD!H19</f>
        <v>75146</v>
      </c>
      <c r="I143" s="6">
        <f>YTD!I19</f>
        <v>55720</v>
      </c>
      <c r="J143" s="6">
        <f>YTD!J19</f>
        <v>46455</v>
      </c>
      <c r="K143" s="6">
        <f>YTD!K19</f>
        <v>19681</v>
      </c>
      <c r="L143" s="6">
        <f>YTD!L19</f>
        <v>1409</v>
      </c>
      <c r="M143" s="6">
        <f>YTD!M19</f>
        <v>2221</v>
      </c>
      <c r="N143" s="6">
        <f>YTD!N19</f>
        <v>0</v>
      </c>
      <c r="O143" s="6">
        <f t="shared" si="13"/>
        <v>468202</v>
      </c>
      <c r="P143" s="6">
        <f t="shared" si="14"/>
        <v>444891</v>
      </c>
      <c r="Q143" t="s">
        <v>121</v>
      </c>
    </row>
    <row r="144" spans="1:17" x14ac:dyDescent="0.35">
      <c r="A144" t="str">
        <f>YTD!A20</f>
        <v>Greenfield High School</v>
      </c>
      <c r="B144" t="str">
        <f>YTD!B20</f>
        <v>Learnerships</v>
      </c>
      <c r="C144" s="6">
        <f>YTD!C20</f>
        <v>37289</v>
      </c>
      <c r="D144" s="6">
        <f>YTD!D20</f>
        <v>9903</v>
      </c>
      <c r="E144" s="6">
        <f>YTD!E20</f>
        <v>37181</v>
      </c>
      <c r="F144" s="6">
        <f>YTD!F20</f>
        <v>17306</v>
      </c>
      <c r="G144" s="6">
        <f>YTD!G20</f>
        <v>83896</v>
      </c>
      <c r="H144" s="6">
        <f>YTD!H20</f>
        <v>59878</v>
      </c>
      <c r="I144" s="6">
        <f>YTD!I20</f>
        <v>48868</v>
      </c>
      <c r="J144" s="6">
        <f>YTD!J20</f>
        <v>74897</v>
      </c>
      <c r="K144" s="6">
        <f>YTD!K20</f>
        <v>43181</v>
      </c>
      <c r="L144" s="6">
        <f>YTD!L20</f>
        <v>6309</v>
      </c>
      <c r="M144" s="6">
        <f>YTD!M20</f>
        <v>51457</v>
      </c>
      <c r="N144" s="6">
        <f>YTD!N20</f>
        <v>0</v>
      </c>
      <c r="O144" s="6">
        <f t="shared" si="13"/>
        <v>470165</v>
      </c>
      <c r="P144" s="6">
        <f t="shared" si="14"/>
        <v>369218</v>
      </c>
      <c r="Q144" t="s">
        <v>121</v>
      </c>
    </row>
    <row r="145" spans="1:17" x14ac:dyDescent="0.35">
      <c r="A145" t="str">
        <f>YTD!A21</f>
        <v>Metro Logistics</v>
      </c>
      <c r="B145" t="str">
        <f>YTD!B21</f>
        <v xml:space="preserve">Compliance Training </v>
      </c>
      <c r="C145" s="6">
        <f>YTD!C21</f>
        <v>23763</v>
      </c>
      <c r="D145" s="6">
        <f>YTD!D21</f>
        <v>54119</v>
      </c>
      <c r="E145" s="6">
        <f>YTD!E21</f>
        <v>27191</v>
      </c>
      <c r="F145" s="6">
        <f>YTD!F21</f>
        <v>6364</v>
      </c>
      <c r="G145" s="6">
        <f>YTD!G21</f>
        <v>46632</v>
      </c>
      <c r="H145" s="6">
        <f>YTD!H21</f>
        <v>59820</v>
      </c>
      <c r="I145" s="6">
        <f>YTD!I21</f>
        <v>16223</v>
      </c>
      <c r="J145" s="6">
        <f>YTD!J21</f>
        <v>26059</v>
      </c>
      <c r="K145" s="6">
        <f>YTD!K21</f>
        <v>97454</v>
      </c>
      <c r="L145" s="6">
        <f>YTD!L21</f>
        <v>41677</v>
      </c>
      <c r="M145" s="6">
        <f>YTD!M21</f>
        <v>91579</v>
      </c>
      <c r="N145" s="6">
        <f>YTD!N21</f>
        <v>0</v>
      </c>
      <c r="O145" s="6">
        <f t="shared" si="13"/>
        <v>490881</v>
      </c>
      <c r="P145" s="6">
        <f t="shared" si="14"/>
        <v>260171</v>
      </c>
      <c r="Q145" t="s">
        <v>121</v>
      </c>
    </row>
    <row r="146" spans="1:17" x14ac:dyDescent="0.35">
      <c r="A146" t="str">
        <f>YTD!A22</f>
        <v>ABC Manufacturing</v>
      </c>
      <c r="B146" t="str">
        <f>YTD!B22</f>
        <v>Learnerships</v>
      </c>
      <c r="C146" s="6">
        <f>YTD!C22</f>
        <v>91833</v>
      </c>
      <c r="D146" s="6">
        <f>YTD!D22</f>
        <v>83620</v>
      </c>
      <c r="E146" s="6">
        <f>YTD!E22</f>
        <v>57417</v>
      </c>
      <c r="F146" s="6">
        <f>YTD!F22</f>
        <v>2093</v>
      </c>
      <c r="G146" s="6">
        <f>YTD!G22</f>
        <v>20577</v>
      </c>
      <c r="H146" s="6">
        <f>YTD!H22</f>
        <v>73526</v>
      </c>
      <c r="I146" s="6">
        <f>YTD!I22</f>
        <v>60807</v>
      </c>
      <c r="J146" s="6">
        <f>YTD!J22</f>
        <v>43825</v>
      </c>
      <c r="K146" s="6">
        <f>YTD!K22</f>
        <v>87396</v>
      </c>
      <c r="L146" s="6">
        <f>YTD!L22</f>
        <v>86701</v>
      </c>
      <c r="M146" s="6">
        <f>YTD!M22</f>
        <v>72414</v>
      </c>
      <c r="N146" s="6">
        <f>YTD!N22</f>
        <v>0</v>
      </c>
      <c r="O146" s="6">
        <f t="shared" si="13"/>
        <v>680209</v>
      </c>
      <c r="P146" s="6">
        <f t="shared" si="14"/>
        <v>433698</v>
      </c>
      <c r="Q146" t="s">
        <v>121</v>
      </c>
    </row>
    <row r="147" spans="1:17" x14ac:dyDescent="0.35">
      <c r="A147" t="str">
        <f>YTD!A23</f>
        <v>Speccon</v>
      </c>
      <c r="B147" t="str">
        <f>YTD!B23</f>
        <v>Learnerships</v>
      </c>
      <c r="C147" s="6">
        <f>YTD!C23</f>
        <v>95436</v>
      </c>
      <c r="D147" s="6">
        <f>YTD!D23</f>
        <v>16433</v>
      </c>
      <c r="E147" s="6">
        <f>YTD!E23</f>
        <v>80340</v>
      </c>
      <c r="F147" s="6">
        <f>YTD!F23</f>
        <v>36507</v>
      </c>
      <c r="G147" s="6">
        <f>YTD!G23</f>
        <v>51988</v>
      </c>
      <c r="H147" s="6">
        <f>YTD!H23</f>
        <v>45197</v>
      </c>
      <c r="I147" s="6">
        <f>YTD!I23</f>
        <v>43348</v>
      </c>
      <c r="J147" s="6">
        <f>YTD!J23</f>
        <v>28761</v>
      </c>
      <c r="K147" s="6">
        <f>YTD!K23</f>
        <v>98364</v>
      </c>
      <c r="L147" s="6">
        <f>YTD!L23</f>
        <v>89709</v>
      </c>
      <c r="M147" s="6">
        <f>YTD!M23</f>
        <v>13877</v>
      </c>
      <c r="N147" s="6">
        <f>YTD!N23</f>
        <v>0</v>
      </c>
      <c r="O147" s="6">
        <f t="shared" si="13"/>
        <v>599960</v>
      </c>
      <c r="P147" s="6">
        <f t="shared" si="14"/>
        <v>398010</v>
      </c>
      <c r="Q147" t="s">
        <v>121</v>
      </c>
    </row>
    <row r="148" spans="1:17" x14ac:dyDescent="0.35">
      <c r="A148" t="str">
        <f>YTD!A24</f>
        <v>Greenfield High School</v>
      </c>
      <c r="B148" t="str">
        <f>YTD!B24</f>
        <v>Other Courses</v>
      </c>
      <c r="C148" s="6">
        <f>YTD!C24</f>
        <v>69819</v>
      </c>
      <c r="D148" s="6">
        <f>YTD!D24</f>
        <v>64235</v>
      </c>
      <c r="E148" s="6">
        <f>YTD!E24</f>
        <v>86152</v>
      </c>
      <c r="F148" s="6">
        <f>YTD!F24</f>
        <v>35349</v>
      </c>
      <c r="G148" s="6">
        <f>YTD!G24</f>
        <v>41832</v>
      </c>
      <c r="H148" s="6">
        <f>YTD!H24</f>
        <v>78559</v>
      </c>
      <c r="I148" s="6">
        <f>YTD!I24</f>
        <v>58599</v>
      </c>
      <c r="J148" s="6">
        <f>YTD!J24</f>
        <v>14934</v>
      </c>
      <c r="K148" s="6">
        <f>YTD!K24</f>
        <v>46329</v>
      </c>
      <c r="L148" s="6">
        <f>YTD!L24</f>
        <v>68003</v>
      </c>
      <c r="M148" s="6">
        <f>YTD!M24</f>
        <v>14469</v>
      </c>
      <c r="N148" s="6">
        <f>YTD!N24</f>
        <v>0</v>
      </c>
      <c r="O148" s="6">
        <f t="shared" si="13"/>
        <v>578280</v>
      </c>
      <c r="P148" s="6">
        <f t="shared" si="14"/>
        <v>449479</v>
      </c>
      <c r="Q148" t="s">
        <v>121</v>
      </c>
    </row>
    <row r="149" spans="1:17" x14ac:dyDescent="0.35">
      <c r="A149" t="str">
        <f>YTD!A25</f>
        <v>AVI</v>
      </c>
      <c r="B149" t="str">
        <f>YTD!B25</f>
        <v>TAP Business</v>
      </c>
      <c r="C149" s="6">
        <f>YTD!C25</f>
        <v>59020</v>
      </c>
      <c r="D149" s="6">
        <f>YTD!D25</f>
        <v>21786</v>
      </c>
      <c r="E149" s="6">
        <f>YTD!E25</f>
        <v>16695</v>
      </c>
      <c r="F149" s="6">
        <f>YTD!F25</f>
        <v>99301</v>
      </c>
      <c r="G149" s="6">
        <f>YTD!G25</f>
        <v>36685</v>
      </c>
      <c r="H149" s="6">
        <f>YTD!H25</f>
        <v>99807</v>
      </c>
      <c r="I149" s="6">
        <f>YTD!I25</f>
        <v>22467</v>
      </c>
      <c r="J149" s="6">
        <f>YTD!J25</f>
        <v>81323</v>
      </c>
      <c r="K149" s="6">
        <f>YTD!K25</f>
        <v>12586</v>
      </c>
      <c r="L149" s="6">
        <f>YTD!L25</f>
        <v>517</v>
      </c>
      <c r="M149" s="6">
        <f>YTD!M25</f>
        <v>5895</v>
      </c>
      <c r="N149" s="6">
        <f>YTD!N25</f>
        <v>0</v>
      </c>
      <c r="O149" s="6">
        <f t="shared" si="13"/>
        <v>456082</v>
      </c>
      <c r="P149" s="6">
        <f t="shared" si="14"/>
        <v>437084</v>
      </c>
      <c r="Q149" t="s">
        <v>121</v>
      </c>
    </row>
    <row r="150" spans="1:17" x14ac:dyDescent="0.35">
      <c r="A150" t="str">
        <f>YTD!A26</f>
        <v>Tech Solutions SA</v>
      </c>
      <c r="B150" t="str">
        <f>YTD!B26</f>
        <v>Other Courses</v>
      </c>
      <c r="C150" s="6">
        <f>YTD!C26</f>
        <v>10189</v>
      </c>
      <c r="D150" s="6">
        <f>YTD!D26</f>
        <v>55760</v>
      </c>
      <c r="E150" s="6">
        <f>YTD!E26</f>
        <v>41863</v>
      </c>
      <c r="F150" s="6">
        <f>YTD!F26</f>
        <v>62878</v>
      </c>
      <c r="G150" s="6">
        <f>YTD!G26</f>
        <v>82935</v>
      </c>
      <c r="H150" s="6">
        <f>YTD!H26</f>
        <v>96556</v>
      </c>
      <c r="I150" s="6">
        <f>YTD!I26</f>
        <v>53991</v>
      </c>
      <c r="J150" s="6">
        <f>YTD!J26</f>
        <v>52087</v>
      </c>
      <c r="K150" s="6">
        <f>YTD!K26</f>
        <v>72744</v>
      </c>
      <c r="L150" s="6">
        <f>YTD!L26</f>
        <v>75907</v>
      </c>
      <c r="M150" s="6">
        <f>YTD!M26</f>
        <v>77089</v>
      </c>
      <c r="N150" s="6">
        <f>YTD!N26</f>
        <v>0</v>
      </c>
      <c r="O150" s="6">
        <f t="shared" si="13"/>
        <v>681999</v>
      </c>
      <c r="P150" s="6">
        <f t="shared" si="14"/>
        <v>456259</v>
      </c>
      <c r="Q150" t="s">
        <v>121</v>
      </c>
    </row>
    <row r="151" spans="1:17" x14ac:dyDescent="0.35">
      <c r="A151" t="str">
        <f>YTD!A27</f>
        <v>AVI</v>
      </c>
      <c r="B151" t="str">
        <f>YTD!B27</f>
        <v>Other Courses</v>
      </c>
      <c r="C151" s="6">
        <f>YTD!C27</f>
        <v>93362</v>
      </c>
      <c r="D151" s="6">
        <f>YTD!D27</f>
        <v>49744</v>
      </c>
      <c r="E151" s="6">
        <f>YTD!E27</f>
        <v>2467</v>
      </c>
      <c r="F151" s="6">
        <f>YTD!F27</f>
        <v>70069</v>
      </c>
      <c r="G151" s="6">
        <f>YTD!G27</f>
        <v>13902</v>
      </c>
      <c r="H151" s="6">
        <f>YTD!H27</f>
        <v>70579</v>
      </c>
      <c r="I151" s="6">
        <f>YTD!I27</f>
        <v>48853</v>
      </c>
      <c r="J151" s="6">
        <f>YTD!J27</f>
        <v>54099</v>
      </c>
      <c r="K151" s="6">
        <f>YTD!K27</f>
        <v>26555</v>
      </c>
      <c r="L151" s="6">
        <f>YTD!L27</f>
        <v>56277</v>
      </c>
      <c r="M151" s="6">
        <f>YTD!M27</f>
        <v>36654</v>
      </c>
      <c r="N151" s="6">
        <f>YTD!N27</f>
        <v>0</v>
      </c>
      <c r="O151" s="6">
        <f t="shared" si="13"/>
        <v>522561</v>
      </c>
      <c r="P151" s="6">
        <f t="shared" si="14"/>
        <v>403075</v>
      </c>
      <c r="Q151" t="s">
        <v>121</v>
      </c>
    </row>
    <row r="152" spans="1:17" x14ac:dyDescent="0.35">
      <c r="A152" t="str">
        <f>YTD!A28</f>
        <v>Metro Logistics</v>
      </c>
      <c r="B152" t="str">
        <f>YTD!B28</f>
        <v>Other Courses</v>
      </c>
      <c r="C152" s="6">
        <f>YTD!C28</f>
        <v>44290</v>
      </c>
      <c r="D152" s="6">
        <f>YTD!D28</f>
        <v>48498</v>
      </c>
      <c r="E152" s="6">
        <f>YTD!E28</f>
        <v>24444</v>
      </c>
      <c r="F152" s="6">
        <f>YTD!F28</f>
        <v>73072</v>
      </c>
      <c r="G152" s="6">
        <f>YTD!G28</f>
        <v>65642</v>
      </c>
      <c r="H152" s="6">
        <f>YTD!H28</f>
        <v>57768</v>
      </c>
      <c r="I152" s="6">
        <f>YTD!I28</f>
        <v>94158</v>
      </c>
      <c r="J152" s="6">
        <f>YTD!J28</f>
        <v>46250</v>
      </c>
      <c r="K152" s="6">
        <f>YTD!K28</f>
        <v>49466</v>
      </c>
      <c r="L152" s="6">
        <f>YTD!L28</f>
        <v>25549</v>
      </c>
      <c r="M152" s="6">
        <f>YTD!M28</f>
        <v>79042</v>
      </c>
      <c r="N152" s="6">
        <f>YTD!N28</f>
        <v>0</v>
      </c>
      <c r="O152" s="6">
        <f t="shared" si="13"/>
        <v>608179</v>
      </c>
      <c r="P152" s="6">
        <f t="shared" si="14"/>
        <v>454122</v>
      </c>
      <c r="Q152" t="s">
        <v>121</v>
      </c>
    </row>
  </sheetData>
  <phoneticPr fontId="4" type="noConversion"/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Test Data</vt:lpstr>
      <vt:lpstr>PY-3</vt:lpstr>
      <vt:lpstr>PY-2</vt:lpstr>
      <vt:lpstr>PY-1</vt:lpstr>
      <vt:lpstr>Budget</vt:lpstr>
      <vt:lpstr>YTD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 van der Westhuizen</dc:creator>
  <cp:lastModifiedBy>Hein van der Westhuizen</cp:lastModifiedBy>
  <dcterms:created xsi:type="dcterms:W3CDTF">2025-12-07T12:16:39Z</dcterms:created>
  <dcterms:modified xsi:type="dcterms:W3CDTF">2025-12-09T12:31:50Z</dcterms:modified>
</cp:coreProperties>
</file>